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 xmlns:r="http://schemas.openxmlformats.org/officeDocument/2006/relationships" name="Test Cases" sheetId="3" state="visible" r:id="rId3"/>
    <sheet xmlns:r="http://schemas.openxmlformats.org/officeDocument/2006/relationships" name="Lists" sheetId="4" state="visible" r:id="rId4"/>
    <sheet xmlns:r="http://schemas.openxmlformats.org/officeDocument/2006/relationships" name="Sample Project" sheetId="5" state="visible" r:id="rId5"/>
  </sheets>
  <definedNames>
    <definedName name="St_NotRun">Lists!$A$5</definedName>
    <definedName name="St_Passed">Lists!$A$6</definedName>
    <definedName name="St_Failed">Lists!$A$7</definedName>
    <definedName name="St_Blocked">Lists!$A$8</definedName>
    <definedName name="St_Skipped">Lists!$A$9</definedName>
    <definedName name="Sev_1">Lists!$F$5</definedName>
    <definedName name="Sev_2">Lists!$F$6</definedName>
    <definedName name="IDPrefix">Lists!$N$5</definedName>
    <definedName name="_xlnm.Print_Titles" localSheetId="2">'Test Cases'!$4:$4</definedName>
  </definedNames>
  <calcPr calcId="124519" fullCalcOnLoad="1"/>
</workbook>
</file>

<file path=xl/styles.xml><?xml version="1.0" encoding="utf-8"?>
<styleSheet xmlns="http://schemas.openxmlformats.org/spreadsheetml/2006/main">
  <numFmts count="3">
    <numFmt numFmtId="164" formatCode="yyyy-mm-dd"/>
    <numFmt numFmtId="165" formatCode="0.0%&quot; of total&quot;"/>
    <numFmt numFmtId="166" formatCode="0.0%"/>
  </numFmts>
  <fonts count="34">
    <font>
      <name val="Calibri"/>
      <family val="2"/>
      <color theme="1"/>
      <sz val="11"/>
      <scheme val="minor"/>
    </font>
    <font>
      <name val="Helvetica Neue"/>
      <b val="1"/>
      <color rgb="001D1D1F"/>
      <sz val="24"/>
    </font>
    <font>
      <name val="Helvetica Neue"/>
      <color rgb="006E6E73"/>
      <sz val="10"/>
    </font>
    <font>
      <name val="Helvetica Neue"/>
      <color rgb="00B25000"/>
      <sz val="10"/>
    </font>
    <font>
      <name val="Helvetica Neue"/>
      <b val="1"/>
      <color rgb="006E6E73"/>
      <sz val="9"/>
    </font>
    <font>
      <name val="Helvetica Neue"/>
      <color rgb="001D1D1F"/>
      <sz val="10"/>
    </font>
    <font>
      <name val="Helvetica Neue"/>
      <b val="1"/>
      <color rgb="001D1D1F"/>
      <sz val="10"/>
    </font>
    <font>
      <name val="Helvetica Neue"/>
      <color rgb="0086868B"/>
      <sz val="8"/>
    </font>
    <font>
      <name val="Helvetica Neue"/>
      <b val="1"/>
      <color rgb="001D1D1F"/>
      <sz val="9.5"/>
    </font>
    <font>
      <name val="Helvetica Neue"/>
      <b val="1"/>
      <color rgb="000071E3"/>
      <sz val="10"/>
    </font>
    <font>
      <name val="Helvetica Neue"/>
      <b val="1"/>
      <color rgb="0086868B"/>
      <sz val="8"/>
    </font>
    <font>
      <name val="Helvetica Neue"/>
      <b val="1"/>
      <color rgb="001D1D1F"/>
      <sz val="20"/>
    </font>
    <font>
      <name val="Helvetica Neue"/>
      <b val="1"/>
      <color rgb="00248A3D"/>
      <sz val="20"/>
    </font>
    <font>
      <name val="Helvetica Neue"/>
      <b val="1"/>
      <color rgb="00D70015"/>
      <sz val="20"/>
    </font>
    <font>
      <name val="Helvetica Neue"/>
      <b val="1"/>
      <color rgb="00B25000"/>
      <sz val="20"/>
    </font>
    <font>
      <name val="Helvetica Neue"/>
      <b val="1"/>
      <color rgb="006E6E73"/>
      <sz val="20"/>
    </font>
    <font>
      <name val="Helvetica Neue"/>
      <b val="1"/>
      <color rgb="000071E3"/>
      <sz val="20"/>
    </font>
    <font>
      <name val="Helvetica Neue"/>
      <b val="1"/>
      <color rgb="001D1D1F"/>
      <sz val="13"/>
    </font>
    <font>
      <name val="Helvetica Neue"/>
      <i val="1"/>
      <color rgb="0086868B"/>
      <sz val="10"/>
    </font>
    <font>
      <name val="Helvetica Neue"/>
      <color rgb="0086868B"/>
      <sz val="9"/>
    </font>
    <font>
      <name val="Helvetica Neue"/>
      <b val="1"/>
      <color rgb="000071E3"/>
      <sz val="9"/>
    </font>
    <font>
      <name val="Helvetica Neue"/>
      <b val="1"/>
      <color rgb="001D1D1F"/>
      <sz val="30"/>
    </font>
    <font>
      <name val="Helvetica Neue"/>
      <color rgb="006E6E73"/>
      <sz val="13"/>
    </font>
    <font>
      <name val="Helvetica Neue"/>
      <b val="1"/>
      <color rgb="001D1D1F"/>
      <sz val="16"/>
    </font>
    <font>
      <name val="Helvetica Neue"/>
      <b val="1"/>
      <color rgb="000071E3"/>
      <sz val="11"/>
    </font>
    <font>
      <name val="Helvetica Neue"/>
      <b val="1"/>
      <color rgb="000071E3"/>
      <sz val="10.5"/>
    </font>
    <font>
      <name val="Helvetica Neue"/>
      <color rgb="00424245"/>
      <sz val="10.5"/>
    </font>
    <font>
      <name val="Helvetica Neue"/>
      <b val="1"/>
      <color rgb="001D1D1F"/>
      <sz val="10.5"/>
    </font>
    <font>
      <name val="Helvetica Neue"/>
      <b val="1"/>
      <color rgb="008E8E93"/>
      <sz val="14"/>
    </font>
    <font>
      <name val="Helvetica Neue"/>
      <b val="1"/>
      <color rgb="0034C759"/>
      <sz val="14"/>
    </font>
    <font>
      <name val="Helvetica Neue"/>
      <b val="1"/>
      <color rgb="00FF3B30"/>
      <sz val="14"/>
    </font>
    <font>
      <name val="Helvetica Neue"/>
      <b val="1"/>
      <color rgb="00FF9F0A"/>
      <sz val="14"/>
    </font>
    <font>
      <name val="Helvetica Neue"/>
      <b val="1"/>
      <color rgb="00C7C7CC"/>
      <sz val="14"/>
    </font>
    <font>
      <name val="Helvetica Neue"/>
      <color rgb="000071E3"/>
      <sz val="10.5"/>
      <u val="single"/>
    </font>
  </fonts>
  <fills count="4">
    <fill>
      <patternFill/>
    </fill>
    <fill>
      <patternFill patternType="gray125"/>
    </fill>
    <fill>
      <patternFill patternType="solid">
        <fgColor rgb="00F5F5F7"/>
        <bgColor rgb="00F5F5F7"/>
      </patternFill>
    </fill>
    <fill>
      <patternFill patternType="solid">
        <fgColor rgb="00E8F1FC"/>
        <bgColor rgb="00E8F1FC"/>
      </patternFill>
    </fill>
  </fills>
  <borders count="4">
    <border>
      <left/>
      <right/>
      <top/>
      <bottom/>
      <diagonal/>
    </border>
    <border>
      <bottom style="medium">
        <color rgb="001D1D1F"/>
      </bottom>
    </border>
    <border>
      <bottom style="thin">
        <color rgb="00E5E5EA"/>
      </bottom>
    </border>
    <border>
      <bottom style="thin">
        <color rgb="00D2D2D7"/>
      </bottom>
    </border>
  </borders>
  <cellStyleXfs count="1">
    <xf numFmtId="0" fontId="0" fillId="0" borderId="0"/>
  </cellStyleXfs>
  <cellXfs count="53">
    <xf numFmtId="0" fontId="0" fillId="0" borderId="0" pivotButton="0" quotePrefix="0" xfId="0"/>
    <xf numFmtId="0" fontId="20" fillId="0" borderId="0" pivotButton="0" quotePrefix="0" xfId="0"/>
    <xf numFmtId="0" fontId="21" fillId="0" borderId="0" pivotButton="0" quotePrefix="0" xfId="0"/>
    <xf numFmtId="0" fontId="22" fillId="0" borderId="0" applyAlignment="1" pivotButton="0" quotePrefix="0" xfId="0">
      <alignment vertical="top" wrapText="1"/>
    </xf>
    <xf numFmtId="0" fontId="0" fillId="0" borderId="3" pivotButton="0" quotePrefix="0" xfId="0"/>
    <xf numFmtId="0" fontId="23" fillId="0" borderId="3" pivotButton="0" quotePrefix="0" xfId="0"/>
    <xf numFmtId="0" fontId="24" fillId="0" borderId="2" applyAlignment="1" pivotButton="0" quotePrefix="0" xfId="0">
      <alignment horizontal="center" vertical="top"/>
    </xf>
    <xf numFmtId="0" fontId="25" fillId="0" borderId="2" applyAlignment="1" pivotButton="0" quotePrefix="0" xfId="0">
      <alignment vertical="top" wrapText="1"/>
    </xf>
    <xf numFmtId="0" fontId="26" fillId="0" borderId="2" applyAlignment="1" pivotButton="0" quotePrefix="0" xfId="0">
      <alignment vertical="top" wrapText="1"/>
    </xf>
    <xf numFmtId="0" fontId="27" fillId="0" borderId="2" applyAlignment="1" pivotButton="0" quotePrefix="0" xfId="0">
      <alignment vertical="top" wrapText="1"/>
    </xf>
    <xf numFmtId="0" fontId="28" fillId="0" borderId="2" applyAlignment="1" pivotButton="0" quotePrefix="0" xfId="0">
      <alignment horizontal="center" vertical="top"/>
    </xf>
    <xf numFmtId="0" fontId="29" fillId="0" borderId="2" applyAlignment="1" pivotButton="0" quotePrefix="0" xfId="0">
      <alignment horizontal="center" vertical="top"/>
    </xf>
    <xf numFmtId="0" fontId="30" fillId="0" borderId="2" applyAlignment="1" pivotButton="0" quotePrefix="0" xfId="0">
      <alignment horizontal="center" vertical="top"/>
    </xf>
    <xf numFmtId="0" fontId="31" fillId="0" borderId="2" applyAlignment="1" pivotButton="0" quotePrefix="0" xfId="0">
      <alignment horizontal="center" vertical="top"/>
    </xf>
    <xf numFmtId="0" fontId="32" fillId="0" borderId="2" applyAlignment="1" pivotButton="0" quotePrefix="0" xfId="0">
      <alignment horizontal="center" vertical="top"/>
    </xf>
    <xf numFmtId="0" fontId="1" fillId="0" borderId="0" pivotButton="0" quotePrefix="0" xfId="0"/>
    <xf numFmtId="0" fontId="2" fillId="0" borderId="0" pivotButton="0" quotePrefix="0" xfId="0"/>
    <xf numFmtId="0" fontId="10" fillId="2" borderId="0" applyAlignment="1" pivotButton="0" quotePrefix="0" xfId="0">
      <alignment horizontal="left" vertical="bottom" indent="1"/>
    </xf>
    <xf numFmtId="0" fontId="11" fillId="2" borderId="0" applyAlignment="1" pivotButton="0" quotePrefix="0" xfId="0">
      <alignment horizontal="left" vertical="center" shrinkToFit="1" indent="1"/>
    </xf>
    <xf numFmtId="0" fontId="12" fillId="2" borderId="0" applyAlignment="1" pivotButton="0" quotePrefix="0" xfId="0">
      <alignment horizontal="left" vertical="center" shrinkToFit="1" indent="1"/>
    </xf>
    <xf numFmtId="0" fontId="13" fillId="2" borderId="0" applyAlignment="1" pivotButton="0" quotePrefix="0" xfId="0">
      <alignment horizontal="left" vertical="center" shrinkToFit="1" indent="1"/>
    </xf>
    <xf numFmtId="0" fontId="14" fillId="2" borderId="0" applyAlignment="1" pivotButton="0" quotePrefix="0" xfId="0">
      <alignment horizontal="left" vertical="center" shrinkToFit="1" indent="1"/>
    </xf>
    <xf numFmtId="0" fontId="15" fillId="2" borderId="0" applyAlignment="1" pivotButton="0" quotePrefix="0" xfId="0">
      <alignment horizontal="left" vertical="center" shrinkToFit="1" indent="1"/>
    </xf>
    <xf numFmtId="166" fontId="16" fillId="2" borderId="0" applyAlignment="1" pivotButton="0" quotePrefix="0" xfId="0">
      <alignment horizontal="left" vertical="center" shrinkToFit="1" indent="1"/>
    </xf>
    <xf numFmtId="0" fontId="7" fillId="2" borderId="0" applyAlignment="1" pivotButton="0" quotePrefix="0" xfId="0">
      <alignment horizontal="left" vertical="top" wrapText="1" indent="1"/>
    </xf>
    <xf numFmtId="165" fontId="7" fillId="2" borderId="0" applyAlignment="1" pivotButton="0" quotePrefix="0" xfId="0">
      <alignment horizontal="left" vertical="top" wrapText="1" indent="1"/>
    </xf>
    <xf numFmtId="0" fontId="17" fillId="0" borderId="0" pivotButton="0" quotePrefix="0" xfId="0"/>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center" vertical="center"/>
    </xf>
    <xf numFmtId="166" fontId="5" fillId="0" borderId="2" applyAlignment="1" pivotButton="0" quotePrefix="0" xfId="0">
      <alignment horizontal="center" vertical="center"/>
    </xf>
    <xf numFmtId="0" fontId="18" fillId="0" borderId="2" applyAlignment="1" pivotButton="0" quotePrefix="0" xfId="0">
      <alignment horizontal="left" vertical="center"/>
    </xf>
    <xf numFmtId="0" fontId="6" fillId="2" borderId="2" applyAlignment="1" pivotButton="0" quotePrefix="0" xfId="0">
      <alignment horizontal="left" vertical="center"/>
    </xf>
    <xf numFmtId="0" fontId="6" fillId="2" borderId="2" applyAlignment="1" pivotButton="0" quotePrefix="0" xfId="0">
      <alignment horizontal="center" vertical="center"/>
    </xf>
    <xf numFmtId="166" fontId="6" fillId="2" borderId="2" applyAlignment="1" pivotButton="0" quotePrefix="0" xfId="0">
      <alignment horizontal="center" vertical="center"/>
    </xf>
    <xf numFmtId="0" fontId="5" fillId="0" borderId="0" pivotButton="0" quotePrefix="0" xfId="0"/>
    <xf numFmtId="0" fontId="6" fillId="2" borderId="0" applyAlignment="1" pivotButton="0" quotePrefix="0" xfId="0">
      <alignment horizontal="center"/>
    </xf>
    <xf numFmtId="0" fontId="7" fillId="0" borderId="0" pivotButton="0" quotePrefix="0" xfId="0"/>
    <xf numFmtId="0" fontId="19" fillId="0" borderId="0" applyAlignment="1" pivotButton="0" quotePrefix="0" xfId="0">
      <alignment vertical="top" wrapText="1"/>
    </xf>
    <xf numFmtId="0" fontId="4" fillId="0" borderId="0" applyAlignment="1" pivotButton="0" quotePrefix="0" xfId="0">
      <alignment horizontal="right" vertical="center"/>
    </xf>
    <xf numFmtId="0" fontId="9" fillId="3" borderId="0" applyAlignment="1" pivotButton="0" quotePrefix="0" xfId="0">
      <alignment horizontal="center" vertical="center"/>
    </xf>
    <xf numFmtId="0" fontId="7" fillId="0" borderId="0" applyAlignment="1" pivotButton="0" quotePrefix="0" xfId="0">
      <alignment vertical="center"/>
    </xf>
    <xf numFmtId="0" fontId="8" fillId="2" borderId="1" applyAlignment="1" pivotButton="0" quotePrefix="0" xfId="0">
      <alignment vertical="center" wrapText="1"/>
    </xf>
    <xf numFmtId="0" fontId="5" fillId="0" borderId="2" applyAlignment="1" pivotButton="0" quotePrefix="0" xfId="0">
      <alignment horizontal="center" vertical="top" wrapText="1"/>
    </xf>
    <xf numFmtId="0" fontId="5" fillId="0" borderId="2" applyAlignment="1" pivotButton="0" quotePrefix="0" xfId="0">
      <alignment vertical="top" wrapText="1"/>
    </xf>
    <xf numFmtId="164" fontId="5" fillId="0" borderId="2" applyAlignment="1" pivotButton="0" quotePrefix="0" xfId="0">
      <alignment horizontal="center" vertical="top" wrapText="1"/>
    </xf>
    <xf numFmtId="0" fontId="3" fillId="0" borderId="0" pivotButton="0" quotePrefix="0" xfId="0"/>
    <xf numFmtId="0" fontId="4" fillId="2" borderId="1" applyAlignment="1" pivotButton="0" quotePrefix="0" xfId="0">
      <alignment vertical="center"/>
    </xf>
    <xf numFmtId="0" fontId="5" fillId="3" borderId="2" applyAlignment="1" pivotButton="0" quotePrefix="0" xfId="0">
      <alignment vertical="center" wrapText="1"/>
    </xf>
    <xf numFmtId="0" fontId="2" fillId="0" borderId="2" applyAlignment="1" pivotButton="0" quotePrefix="0" xfId="0">
      <alignment vertical="center" wrapText="1"/>
    </xf>
    <xf numFmtId="0" fontId="6" fillId="3" borderId="2" pivotButton="0" quotePrefix="0" xfId="0"/>
    <xf numFmtId="0" fontId="33" fillId="0" borderId="2" applyAlignment="1" pivotButton="0" quotePrefix="0" xfId="0">
      <alignment vertical="top" wrapText="1"/>
    </xf>
  </cellXfs>
  <cellStyles count="1">
    <cellStyle name="Normal" xfId="0" builtinId="0" hidden="0"/>
  </cellStyles>
  <dxfs count="11">
    <dxf>
      <font>
        <b val="1"/>
        <color rgb="001E7A34"/>
      </font>
      <fill>
        <patternFill patternType="solid">
          <fgColor rgb="00E3F6E8"/>
          <bgColor rgb="00E3F6E8"/>
        </patternFill>
      </fill>
    </dxf>
    <dxf>
      <font>
        <b val="1"/>
        <color rgb="00C4161C"/>
      </font>
      <fill>
        <patternFill patternType="solid">
          <fgColor rgb="00FFDAD6"/>
          <bgColor rgb="00FFDAD6"/>
        </patternFill>
      </fill>
    </dxf>
    <dxf>
      <font>
        <b val="1"/>
        <color rgb="00A25200"/>
      </font>
      <fill>
        <patternFill patternType="solid">
          <fgColor rgb="00FFEACC"/>
          <bgColor rgb="00FFEACC"/>
        </patternFill>
      </fill>
    </dxf>
    <dxf>
      <font>
        <b val="1"/>
        <color rgb="006E6E73"/>
      </font>
      <fill>
        <patternFill patternType="solid">
          <fgColor rgb="00ECECF0"/>
          <bgColor rgb="00ECECF0"/>
        </patternFill>
      </fill>
    </dxf>
    <dxf>
      <font>
        <b val="1"/>
        <color rgb="00FFFFFF"/>
      </font>
      <fill>
        <patternFill patternType="solid">
          <fgColor rgb="00FF3B30"/>
          <bgColor rgb="00FF3B30"/>
        </patternFill>
      </fill>
    </dxf>
    <dxf>
      <font>
        <b val="1"/>
        <color rgb="00FFFFFF"/>
      </font>
      <fill>
        <patternFill patternType="solid">
          <fgColor rgb="00FF9F0A"/>
          <bgColor rgb="00FF9F0A"/>
        </patternFill>
      </fill>
    </dxf>
    <dxf>
      <font>
        <b val="1"/>
        <color rgb="008A5A00"/>
      </font>
      <fill>
        <patternFill patternType="solid">
          <fgColor rgb="00FFF3CC"/>
          <bgColor rgb="00FFF3CC"/>
        </patternFill>
      </fill>
    </dxf>
    <dxf>
      <font>
        <color rgb="001E7A34"/>
      </font>
    </dxf>
    <dxf>
      <font>
        <b val="1"/>
        <color rgb="000071E3"/>
      </font>
      <fill>
        <patternFill patternType="solid">
          <fgColor rgb="00E8F1FC"/>
          <bgColor rgb="00E8F1FC"/>
        </patternFill>
      </fill>
    </dxf>
    <dxf>
      <fill>
        <patternFill patternType="solid">
          <fgColor rgb="00FFF5F4"/>
          <bgColor rgb="00FFF5F4"/>
        </patternFill>
      </fill>
    </dxf>
    <dxf>
      <fill>
        <patternFill patternType="solid">
          <fgColor rgb="00FFFAF0"/>
          <bgColor rgb="00FFFA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Status distribution</a:t>
            </a:r>
          </a:p>
        </rich>
      </tx>
    </title>
    <plotArea>
      <barChart>
        <barDir val="col"/>
        <grouping val="clustered"/>
        <ser>
          <idx val="0"/>
          <order val="0"/>
          <spPr>
            <a:ln xmlns:a="http://schemas.openxmlformats.org/drawingml/2006/main">
              <a:prstDash val="solid"/>
            </a:ln>
          </spPr>
          <dPt>
            <idx val="0"/>
            <spPr>
              <a:solidFill xmlns:a="http://schemas.openxmlformats.org/drawingml/2006/main">
                <a:srgbClr val="34C759"/>
              </a:solidFill>
              <a:ln xmlns:a="http://schemas.openxmlformats.org/drawingml/2006/main">
                <a:solidFill>
                  <a:srgbClr val="34C759"/>
                </a:solidFill>
                <a:prstDash val="solid"/>
              </a:ln>
            </spPr>
          </dPt>
          <dPt>
            <idx val="1"/>
            <spPr>
              <a:solidFill xmlns:a="http://schemas.openxmlformats.org/drawingml/2006/main">
                <a:srgbClr val="FF3B30"/>
              </a:solidFill>
              <a:ln xmlns:a="http://schemas.openxmlformats.org/drawingml/2006/main">
                <a:solidFill>
                  <a:srgbClr val="FF3B30"/>
                </a:solidFill>
                <a:prstDash val="solid"/>
              </a:ln>
            </spPr>
          </dPt>
          <dPt>
            <idx val="2"/>
            <spPr>
              <a:solidFill xmlns:a="http://schemas.openxmlformats.org/drawingml/2006/main">
                <a:srgbClr val="FF9F0A"/>
              </a:solidFill>
              <a:ln xmlns:a="http://schemas.openxmlformats.org/drawingml/2006/main">
                <a:solidFill>
                  <a:srgbClr val="FF9F0A"/>
                </a:solidFill>
                <a:prstDash val="solid"/>
              </a:ln>
            </spPr>
          </dPt>
          <dPt>
            <idx val="3"/>
            <spPr>
              <a:solidFill xmlns:a="http://schemas.openxmlformats.org/drawingml/2006/main">
                <a:srgbClr val="8E8E93"/>
              </a:solidFill>
              <a:ln xmlns:a="http://schemas.openxmlformats.org/drawingml/2006/main">
                <a:solidFill>
                  <a:srgbClr val="8E8E93"/>
                </a:solidFill>
                <a:prstDash val="solid"/>
              </a:ln>
            </spPr>
          </dPt>
          <dPt>
            <idx val="4"/>
            <spPr>
              <a:solidFill xmlns:a="http://schemas.openxmlformats.org/drawingml/2006/main">
                <a:srgbClr val="C7C7CC"/>
              </a:solidFill>
              <a:ln xmlns:a="http://schemas.openxmlformats.org/drawingml/2006/main">
                <a:solidFill>
                  <a:srgbClr val="C7C7CC"/>
                </a:solidFill>
                <a:prstDash val="solid"/>
              </a:ln>
            </spPr>
          </dPt>
          <dLbls>
            <showLegendKey val="0"/>
            <showVal val="1"/>
            <showCatName val="0"/>
            <showSerName val="0"/>
          </dLbls>
          <cat>
            <strRef>
              <f>'Dashboard'!$B$10:$B$14</f>
              <strCache>
                <ptCount val="5"/>
                <pt idx="0">
                  <v>Passed</v>
                </pt>
                <pt idx="1">
                  <v>Failed</v>
                </pt>
                <pt idx="2">
                  <v>Blocked</v>
                </pt>
                <pt idx="3">
                  <v>Skipped</v>
                </pt>
                <pt idx="4">
                  <v>Not Run</v>
                </pt>
              </strCache>
            </strRef>
          </cat>
          <val>
            <numRef>
              <f>'Dashboard'!$C$10:$C$14</f>
              <numCache>
                <formatCode>General</formatCode>
                <ptCount val="5"/>
                <pt idx="0">
                  <v>38</v>
                </pt>
                <pt idx="1">
                  <v>8</v>
                </pt>
                <pt idx="2">
                  <v>0</v>
                </pt>
                <pt idx="3">
                  <v>0</v>
                </pt>
                <pt idx="4">
                  <v>0</v>
                </pt>
              </numCache>
            </numRef>
          </val>
        </ser>
        <gapWidth val="7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spPr>
    <a:solidFill xmlns:a="http://schemas.openxmlformats.org/drawingml/2006/main">
      <a:srgbClr val="FFFFFF"/>
    </a:solidFill>
    <a:ln xmlns:a="http://schemas.openxmlformats.org/drawingml/2006/main">
      <a:noFill/>
      <a:prstDash val="solid"/>
    </a:ln>
  </spPr>
</chartSpace>
</file>

<file path=xl/comments/comment1.xml><?xml version="1.0" encoding="utf-8"?>
<comments xmlns="http://schemas.openxmlformats.org/spreadsheetml/2006/main">
  <authors>
    <author>QA Workbook</author>
  </authors>
  <commentList>
    <comment ref="A4" authorId="0" shapeId="0">
      <text>
        <t>Unique ID. Type the next ID shown in cell E3 (e.g. TC-001). Sample rows use SMP-###.</t>
      </text>
    </comment>
    <comment ref="B4" authorId="0" shapeId="0">
      <text>
        <t>Short, specific name that says what is being verified.</t>
      </text>
    </comment>
    <comment ref="C4" authorId="0" shapeId="0">
      <text>
        <t>Area of the product under test. Choose from the dropdown, or type a new one (add it to Lists to include it in the Dashboard).</t>
      </text>
    </comment>
    <comment ref="D4" authorId="0" shapeId="0">
      <text>
        <t>Kind of test (Functional, Negative, Boundary, ...). Dropdown; edit the options on the Lists sheet.</t>
      </text>
    </comment>
    <comment ref="E4" authorId="0" shapeId="0">
      <text>
        <t>How important this test is to run (and fix first) from a business point of view.</t>
      </text>
    </comment>
    <comment ref="F4" authorId="0" shapeId="0">
      <text>
        <t>Execution result: Not Run, Passed, Failed, Blocked or Skipped.</t>
      </text>
    </comment>
    <comment ref="G4" authorId="0" shapeId="0">
      <text>
        <t>Impact of the defect when the test fails. Leave empty for tests that did not fail.</t>
      </text>
    </comment>
    <comment ref="H4" authorId="0" shapeId="0">
      <text>
        <t>What must be true before starting (account, data, page, configuration).</t>
      </text>
    </comment>
    <comment ref="I4" authorId="0" shapeId="0">
      <text>
        <t>Specific inputs to use: values, accounts, products, URLs.</t>
      </text>
    </comment>
    <comment ref="J4" authorId="0" shapeId="0">
      <text>
        <t>Numbered, one action per line (Alt+Enter, or Option+Return on Mac, adds a new line in a cell).</t>
      </text>
    </comment>
    <comment ref="K4" authorId="0" shapeId="0">
      <text>
        <t>What should happen if the product works correctly.</t>
      </text>
    </comment>
    <comment ref="L4" authorId="0" shapeId="0">
      <text>
        <t>What really happened. Required when Status is Failed.</t>
      </text>
    </comment>
    <comment ref="M4" authorId="0" shapeId="0">
      <text>
        <t>Where the test ran: browser, device, or environment (QA, Staging, ...).</t>
      </text>
    </comment>
    <comment ref="N4" authorId="0" shapeId="0">
      <text>
        <t>Who executed the test.</t>
      </text>
    </comment>
    <comment ref="O4" authorId="0" shapeId="0">
      <text>
        <t>Date the test was executed. Ctrl+; (Cmd+; on Mac) inserts today's date.</t>
      </text>
    </comment>
    <comment ref="P4" authorId="0" shapeId="0">
      <text>
        <t>Anything else: defect or bug link, workaround, source remarks.</t>
      </text>
    </comment>
    <comment ref="Q4" authorId="0" shapeId="0">
      <text>
        <t>Optional. Behaviour-driven (Gherkin) version of the test: Given (starting point), When (actions), Then (expected outcome). Leave empty if you only use numbered steps.</t>
      </text>
    </comment>
    <comment ref="R4" authorId="0" shapeId="0">
      <text>
        <t>Automatic. Shows OK, or what is missing or wrong in this row.</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7</row>
      <rowOff>0</rowOff>
    </from>
    <ext cx="5580000" cy="273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TestCases" displayName="tblTestCases" ref="A4:R504" headerRowCount="1">
  <autoFilter ref="A4:R504"/>
  <tableColumns count="18">
    <tableColumn id="1" name="Test Case ID"/>
    <tableColumn id="2" name="Test Case Title"/>
    <tableColumn id="3" name="Feature / Module"/>
    <tableColumn id="4" name="Test Type"/>
    <tableColumn id="5" name="Priority"/>
    <tableColumn id="6" name="Status"/>
    <tableColumn id="7" name="Severity"/>
    <tableColumn id="8" name="Preconditions"/>
    <tableColumn id="9" name="Test Data"/>
    <tableColumn id="10" name="Test Steps"/>
    <tableColumn id="11" name="Expected Result"/>
    <tableColumn id="12" name="Actual Result"/>
    <tableColumn id="13" name="Environment"/>
    <tableColumn id="14" name="Tester"/>
    <tableColumn id="15" name="Execution Date"/>
    <tableColumn id="16" name="Notes"/>
    <tableColumn id="17" name="Scenario (Given / When / Then)"/>
    <tableColumn id="18" name="Check"/>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magento.softwaretestingboard.com/" TargetMode="External" Id="rId1"/><Relationship Type="http://schemas.openxmlformats.org/officeDocument/2006/relationships/hyperlink" Target="https://trello.com/invite/b/l5B3Pqpn/ATTI9f0eaca2e1c93413930063ecadae054049FE4AEA/jobsity-bugs-interview" TargetMode="External" Id="rId2"/></Relationships>
</file>

<file path=xl/worksheets/sheet1.xml><?xml version="1.0" encoding="utf-8"?>
<worksheet xmlns="http://schemas.openxmlformats.org/spreadsheetml/2006/main">
  <sheetPr>
    <tabColor rgb="00C7C7CC"/>
    <outlinePr summaryBelow="1" summaryRight="1"/>
    <pageSetUpPr fitToPage="1"/>
  </sheetPr>
  <dimension ref="B2:D42"/>
  <sheetViews>
    <sheetView showGridLines="0" workbookViewId="0">
      <selection activeCell="A1" sqref="A1"/>
    </sheetView>
  </sheetViews>
  <sheetFormatPr baseColWidth="8" defaultRowHeight="15"/>
  <cols>
    <col width="4" customWidth="1" min="1" max="1"/>
    <col width="5" customWidth="1" min="2" max="2"/>
    <col width="24" customWidth="1" min="3" max="3"/>
    <col width="92" customWidth="1" min="4" max="4"/>
    <col width="4" customWidth="1" min="5" max="5"/>
  </cols>
  <sheetData>
    <row r="1" ht="22" customHeight="1"/>
    <row r="2" ht="20" customHeight="1">
      <c r="C2" s="1" t="inlineStr">
        <is>
          <t>QA TEST CASE WORKBOOK</t>
        </is>
      </c>
    </row>
    <row r="3" ht="46" customHeight="1">
      <c r="C3" s="2" t="inlineStr">
        <is>
          <t>Test cases, beautifully organized.</t>
        </is>
      </c>
    </row>
    <row r="4" ht="46" customHeight="1">
      <c r="C4" s="3" t="inlineStr">
        <is>
          <t>A little project to document test cases and bugs, built for job interviews and personal projects. Write a test, run it, record the result, and the dashboard keeps score. No macros, nothing to install.</t>
        </is>
      </c>
    </row>
    <row r="5" ht="14" customHeight="1"/>
    <row r="6" ht="16" customHeight="1"/>
    <row r="7" ht="30" customHeight="1">
      <c r="B7" s="4" t="n"/>
      <c r="C7" s="5" t="inlineStr">
        <is>
          <t>Quick start</t>
        </is>
      </c>
      <c r="D7" s="4" t="n"/>
    </row>
    <row r="8" ht="39" customHeight="1">
      <c r="B8" s="6" t="inlineStr">
        <is>
          <t>1</t>
        </is>
      </c>
      <c r="C8" s="7" t="inlineStr">
        <is>
          <t>Open Test Cases</t>
        </is>
      </c>
      <c r="D8" s="8" t="inlineStr">
        <is>
          <t>Rows with an SMP- ID are samples. Read them to see the level of detail, then edit or delete them.</t>
        </is>
      </c>
    </row>
    <row r="9" ht="39" customHeight="1">
      <c r="B9" s="6" t="inlineStr">
        <is>
          <t>2</t>
        </is>
      </c>
      <c r="C9" s="9" t="inlineStr">
        <is>
          <t>Add a test case</t>
        </is>
      </c>
      <c r="D9" s="8" t="inlineStr">
        <is>
          <t>Go to the first empty row. Type the next ID shown in cell E3 (for example TC-001), then give it a title.</t>
        </is>
      </c>
    </row>
    <row r="10" ht="39" customHeight="1">
      <c r="B10" s="6" t="inlineStr">
        <is>
          <t>3</t>
        </is>
      </c>
      <c r="C10" s="9" t="inlineStr">
        <is>
          <t>Describe it</t>
        </is>
      </c>
      <c r="D10" s="8" t="inlineStr">
        <is>
          <t>Click a cell in Module, Test Type or Priority and use the small arrow to choose. Then add Preconditions, Test Data, Steps and Expected Result.</t>
        </is>
      </c>
    </row>
    <row r="11" ht="39" customHeight="1">
      <c r="B11" s="6" t="inlineStr">
        <is>
          <t>4</t>
        </is>
      </c>
      <c r="C11" s="9" t="inlineStr">
        <is>
          <t>Run it</t>
        </is>
      </c>
      <c r="D11" s="8" t="inlineStr">
        <is>
          <t>Follow the steps, write what happened in Actual Result and choose a Status. Add Tester, Environment and Date (Ctrl+; or Cmd+; enters today).</t>
        </is>
      </c>
    </row>
    <row r="12" ht="39" customHeight="1">
      <c r="B12" s="6" t="inlineStr">
        <is>
          <t>5</t>
        </is>
      </c>
      <c r="C12" s="9" t="inlineStr">
        <is>
          <t>Report a failure</t>
        </is>
      </c>
      <c r="D12" s="8" t="inlineStr">
        <is>
          <t>Set Status to Failed, choose a Severity and describe the problem. Put your bug tracker link or ID in Notes.</t>
        </is>
      </c>
    </row>
    <row r="13" ht="26" customHeight="1">
      <c r="B13" s="6" t="inlineStr">
        <is>
          <t>6</t>
        </is>
      </c>
      <c r="C13" s="7" t="inlineStr">
        <is>
          <t>Check the Dashboard</t>
        </is>
      </c>
      <c r="D13" s="8" t="inlineStr">
        <is>
          <t>Totals, pass rate, progress and results by module update on their own.</t>
        </is>
      </c>
    </row>
    <row r="14" ht="16" customHeight="1"/>
    <row r="15" ht="30" customHeight="1">
      <c r="B15" s="4" t="n"/>
      <c r="C15" s="5" t="inlineStr">
        <is>
          <t>The columns at a glance</t>
        </is>
      </c>
      <c r="D15" s="4" t="n"/>
    </row>
    <row r="16" ht="39" customHeight="1">
      <c r="B16" s="6" t="inlineStr"/>
      <c r="C16" s="9" t="inlineStr">
        <is>
          <t>Describe</t>
        </is>
      </c>
      <c r="D16" s="8" t="inlineStr">
        <is>
          <t>ID, Title, Module, Test Type, Priority, Preconditions, Test Data, Test Steps, Expected Result and an optional Scenario (Given / When / Then).</t>
        </is>
      </c>
    </row>
    <row r="17" ht="26" customHeight="1">
      <c r="B17" s="6" t="inlineStr"/>
      <c r="C17" s="9" t="inlineStr">
        <is>
          <t>Run</t>
        </is>
      </c>
      <c r="D17" s="8" t="inlineStr">
        <is>
          <t>Status, Actual Result, Severity, Environment, Tester and Execution Date.</t>
        </is>
      </c>
    </row>
    <row r="18" ht="39" customHeight="1">
      <c r="B18" s="6" t="inlineStr"/>
      <c r="C18" s="9" t="inlineStr">
        <is>
          <t>Track</t>
        </is>
      </c>
      <c r="D18" s="8" t="inlineStr">
        <is>
          <t>Notes for links and remarks. The Check column flags missing or duplicate information. Hover over any header for details.</t>
        </is>
      </c>
    </row>
    <row r="19" ht="16" customHeight="1"/>
    <row r="20" ht="30" customHeight="1">
      <c r="B20" s="4" t="n"/>
      <c r="C20" s="5" t="inlineStr">
        <is>
          <t>Statuses</t>
        </is>
      </c>
      <c r="D20" s="4" t="n"/>
    </row>
    <row r="21" ht="26" customHeight="1">
      <c r="B21" s="10" t="inlineStr">
        <is>
          <t>●</t>
        </is>
      </c>
      <c r="C21" s="9" t="inlineStr">
        <is>
          <t>Not Run</t>
        </is>
      </c>
      <c r="D21" s="8" t="inlineStr">
        <is>
          <t>Not executed yet.</t>
        </is>
      </c>
    </row>
    <row r="22" ht="26" customHeight="1">
      <c r="B22" s="11" t="inlineStr">
        <is>
          <t>●</t>
        </is>
      </c>
      <c r="C22" s="9" t="inlineStr">
        <is>
          <t>Passed</t>
        </is>
      </c>
      <c r="D22" s="8" t="inlineStr">
        <is>
          <t>Actual result matched the expected result.</t>
        </is>
      </c>
    </row>
    <row r="23" ht="26" customHeight="1">
      <c r="B23" s="12" t="inlineStr">
        <is>
          <t>●</t>
        </is>
      </c>
      <c r="C23" s="9" t="inlineStr">
        <is>
          <t>Failed</t>
        </is>
      </c>
      <c r="D23" s="8" t="inlineStr">
        <is>
          <t>Actual result differs from the expected result (a defect).</t>
        </is>
      </c>
    </row>
    <row r="24" ht="26" customHeight="1">
      <c r="B24" s="13" t="inlineStr">
        <is>
          <t>●</t>
        </is>
      </c>
      <c r="C24" s="9" t="inlineStr">
        <is>
          <t>Blocked</t>
        </is>
      </c>
      <c r="D24" s="8" t="inlineStr">
        <is>
          <t>Could not run because of an outside problem (environment down, blocking defect, missing data).</t>
        </is>
      </c>
    </row>
    <row r="25" ht="26" customHeight="1">
      <c r="B25" s="14" t="inlineStr">
        <is>
          <t>●</t>
        </is>
      </c>
      <c r="C25" s="9" t="inlineStr">
        <is>
          <t>Skipped</t>
        </is>
      </c>
      <c r="D25" s="8" t="inlineStr">
        <is>
          <t>Intentionally not run in this cycle.</t>
        </is>
      </c>
    </row>
    <row r="26" ht="39" customHeight="1">
      <c r="B26" s="6" t="inlineStr"/>
      <c r="C26" s="9" t="inlineStr">
        <is>
          <t>Priority vs. Severity</t>
        </is>
      </c>
      <c r="D26" s="8" t="inlineStr">
        <is>
          <t>Priority is how important it is to run (and fix) a test first. Severity is how serious the impact is when it fails.</t>
        </is>
      </c>
    </row>
    <row r="27" ht="16" customHeight="1"/>
    <row r="28" ht="30" customHeight="1">
      <c r="B28" s="4" t="n"/>
      <c r="C28" s="5" t="inlineStr">
        <is>
          <t>How the numbers work</t>
        </is>
      </c>
      <c r="D28" s="4" t="n"/>
    </row>
    <row r="29" ht="26" customHeight="1">
      <c r="B29" s="6" t="inlineStr"/>
      <c r="C29" s="9" t="inlineStr">
        <is>
          <t>Pass rate</t>
        </is>
      </c>
      <c r="D29" s="8" t="inlineStr">
        <is>
          <t>Passed ÷ (Passed + Failed). Blocked, Skipped and Not Run are left out.</t>
        </is>
      </c>
    </row>
    <row r="30" ht="26" customHeight="1">
      <c r="B30" s="6" t="inlineStr"/>
      <c r="C30" s="9" t="inlineStr">
        <is>
          <t>Progress</t>
        </is>
      </c>
      <c r="D30" s="8" t="inlineStr">
        <is>
          <t>Share of tests whose status is anything other than Not Run. An empty status counts as Not Run.</t>
        </is>
      </c>
    </row>
    <row r="31" ht="39" customHeight="1">
      <c r="B31" s="6" t="inlineStr"/>
      <c r="C31" s="9" t="inlineStr">
        <is>
          <t>Highlighting</t>
        </is>
      </c>
      <c r="D31" s="8" t="inlineStr">
        <is>
          <t>Failed rows glow red and Blocked rows orange. Critical severity is red, High is orange. Sample IDs are blue.</t>
        </is>
      </c>
    </row>
    <row r="32" ht="16" customHeight="1"/>
    <row r="33" ht="30" customHeight="1">
      <c r="B33" s="4" t="n"/>
      <c r="C33" s="5" t="inlineStr">
        <is>
          <t>Make it yours</t>
        </is>
      </c>
      <c r="D33" s="4" t="n"/>
    </row>
    <row r="34" ht="39" customHeight="1">
      <c r="B34" s="6" t="inlineStr"/>
      <c r="C34" s="7" t="inlineStr">
        <is>
          <t>Dropdown values</t>
        </is>
      </c>
      <c r="D34" s="8" t="inlineStr">
        <is>
          <t>Edit them on the Lists sheet. Type in an empty blue cell to add a value; overwrite one to rename it.</t>
        </is>
      </c>
    </row>
    <row r="35" ht="39" customHeight="1">
      <c r="B35" s="6" t="inlineStr"/>
      <c r="C35" s="9" t="inlineStr">
        <is>
          <t>Statuses</t>
        </is>
      </c>
      <c r="D35" s="8" t="inlineStr">
        <is>
          <t>Rename the five statuses if you like, but keep their order: the Dashboard counts them by position.</t>
        </is>
      </c>
    </row>
    <row r="36" ht="39" customHeight="1">
      <c r="B36" s="6" t="inlineStr"/>
      <c r="C36" s="9" t="inlineStr">
        <is>
          <t>More than 500 rows</t>
        </is>
      </c>
      <c r="D36" s="8" t="inlineStr">
        <is>
          <t>Drag the bottom-right corner of the table down, then copy the Check formula (last column) into the new rows.</t>
        </is>
      </c>
    </row>
    <row r="37" ht="39" customHeight="1">
      <c r="B37" s="6" t="inlineStr"/>
      <c r="C37" s="9" t="inlineStr">
        <is>
          <t>Start fresh</t>
        </is>
      </c>
      <c r="D37" s="8" t="inlineStr">
        <is>
          <t>Select the rows with SMP- IDs, right-click, Delete, Table Rows. The Dashboard resets to your own data.</t>
        </is>
      </c>
    </row>
    <row r="38" ht="16" customHeight="1"/>
    <row r="39" ht="30" customHeight="1">
      <c r="B39" s="4" t="n"/>
      <c r="C39" s="5" t="inlineStr">
        <is>
          <t>About the sample data</t>
        </is>
      </c>
      <c r="D39" s="4" t="n"/>
    </row>
    <row r="40" ht="53.5" customHeight="1">
      <c r="B40" s="6" t="inlineStr"/>
      <c r="C40" s="9" t="inlineStr">
        <is>
          <t>Source</t>
        </is>
      </c>
      <c r="D40" s="8" t="inlineStr">
        <is>
          <t>45 test cases from a private testing project on the Luma demo store, plus one extra Microsoft Edge test (SMP-046). Results (38 Passed, 8 Failed) are the original run. Where the original sheets disagreed, the row's Notes explain the choice.</t>
        </is>
      </c>
    </row>
    <row r="41" ht="39" customHeight="1">
      <c r="B41" s="6" t="inlineStr"/>
      <c r="C41" s="9" t="inlineStr">
        <is>
          <t>Scenario column</t>
        </is>
      </c>
      <c r="D41" s="8" t="inlineStr">
        <is>
          <t>The original Given / When / Then scenarios are kept in the Scenario column, with spelling cleaned. It is optional for your own tests.</t>
        </is>
      </c>
    </row>
    <row r="42" ht="39" customHeight="1">
      <c r="B42" s="6" t="inlineStr"/>
      <c r="C42" s="9" t="inlineStr">
        <is>
          <t>Left blank on purpose</t>
        </is>
      </c>
      <c r="D42" s="8" t="inlineStr">
        <is>
          <t>Priority, Severity, Environment, Tester and Execution Date were not recorded in the original work, so they are empty rather than invented.</t>
        </is>
      </c>
    </row>
    <row r="43" ht="24" customHeight="1"/>
  </sheetData>
  <mergeCells count="1">
    <mergeCell ref="C4:D4"/>
  </mergeCells>
  <hyperlinks>
    <hyperlink ref="C8" location="'Test Cases'!A4" display="Open Test Cases"/>
    <hyperlink ref="C13" location="'Dashboard'!A1" display="Check the Dashboard"/>
    <hyperlink ref="C34" location="'Lists'!A1" display="Dropdown values"/>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071E3"/>
    <outlinePr summaryBelow="1" summaryRight="1"/>
    <pageSetUpPr fitToPage="1"/>
  </sheetPr>
  <dimension ref="B1:I46"/>
  <sheetViews>
    <sheetView showGridLines="0"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B1" s="15" t="inlineStr">
        <is>
          <t>Dashboard</t>
        </is>
      </c>
    </row>
    <row r="2">
      <c r="B2" s="16" t="inlineStr">
        <is>
          <t>Everything here updates automatically from the Test Cases sheet.</t>
        </is>
      </c>
    </row>
    <row r="3" ht="8" customHeight="1"/>
    <row r="4" ht="24" customHeight="1">
      <c r="B4" s="17" t="inlineStr">
        <is>
          <t>TOTAL</t>
        </is>
      </c>
      <c r="C4" s="17" t="str">
        <f>UPPER(St_Passed)</f>
        <v>PASSED</v>
      </c>
      <c r="D4" s="17" t="str">
        <f>UPPER(St_Failed)</f>
        <v>FAILED</v>
      </c>
      <c r="E4" s="17" t="str">
        <f>UPPER(St_Blocked)</f>
        <v>BLOCKED</v>
      </c>
      <c r="F4" s="17" t="str">
        <f>UPPER(St_Skipped)</f>
        <v>SKIPPED</v>
      </c>
      <c r="G4" s="17" t="str">
        <f>UPPER(St_NotRun)</f>
        <v>NOT RUN</v>
      </c>
      <c r="H4" s="17" t="inlineStr">
        <is>
          <t>PASS RATE</t>
        </is>
      </c>
      <c r="I4" s="17" t="inlineStr">
        <is>
          <t>PROGRESS</t>
        </is>
      </c>
    </row>
    <row r="5" ht="44" customHeight="1">
      <c r="B5" s="18">
        <f>COUNTIF('Test Cases'!$B:$B,"?*")-1</f>
        <v>46</v>
      </c>
      <c r="C5" s="19">
        <f>COUNTIFS('Test Cases'!$B:$B,"?*",'Test Cases'!$F:$F,St_Passed)</f>
        <v>38</v>
      </c>
      <c r="D5" s="20">
        <f>COUNTIFS('Test Cases'!$B:$B,"?*",'Test Cases'!$F:$F,St_Failed)</f>
        <v>8</v>
      </c>
      <c r="E5" s="21">
        <f>COUNTIFS('Test Cases'!$B:$B,"?*",'Test Cases'!$F:$F,St_Blocked)</f>
        <v>0</v>
      </c>
      <c r="F5" s="22">
        <f>COUNTIFS('Test Cases'!$B:$B,"?*",'Test Cases'!$F:$F,St_Skipped)</f>
        <v>0</v>
      </c>
      <c r="G5" s="22">
        <f>B5-SUM(C5:F5)</f>
        <v>0</v>
      </c>
      <c r="H5" s="23">
        <f>IF(C5+D5=0,"n/a",C5/(C5+D5))</f>
        <v>0.826086956521739</v>
      </c>
      <c r="I5" s="23">
        <f>IF(B5=0,"n/a",(B5-G5)/B5)</f>
        <v>1</v>
      </c>
    </row>
    <row r="6" ht="28" customHeight="1">
      <c r="B6" s="24" t="inlineStr">
        <is>
          <t>test cases</t>
        </is>
      </c>
      <c r="C6" s="25">
        <f>IF($B$5=0,"",C5/$B$5)</f>
        <v>0.826086956521739</v>
      </c>
      <c r="D6" s="25">
        <f>IF($B$5=0,"",D5/$B$5)</f>
        <v>0.173913043478261</v>
      </c>
      <c r="E6" s="25">
        <f>IF($B$5=0,"",E5/$B$5)</f>
        <v>0</v>
      </c>
      <c r="F6" s="25">
        <f>IF($B$5=0,"",F5/$B$5)</f>
        <v>0</v>
      </c>
      <c r="G6" s="25">
        <f>IF($B$5=0,"",G5/$B$5)</f>
        <v>0</v>
      </c>
      <c r="H6" s="24" t="inlineStr">
        <is>
          <t>Passed ÷ (Passed + Failed)</t>
        </is>
      </c>
      <c r="I6" s="24" t="inlineStr">
        <is>
          <t>Tests with a status ÷ total</t>
        </is>
      </c>
    </row>
    <row r="8" ht="24" customHeight="1">
      <c r="B8" s="26" t="inlineStr">
        <is>
          <t>Status breakdown</t>
        </is>
      </c>
    </row>
    <row r="9" ht="22" customHeight="1">
      <c r="B9" s="27" t="inlineStr">
        <is>
          <t>Status</t>
        </is>
      </c>
      <c r="C9" s="28" t="inlineStr">
        <is>
          <t>Count</t>
        </is>
      </c>
      <c r="D9" s="28" t="inlineStr">
        <is>
          <t>Share</t>
        </is>
      </c>
    </row>
    <row r="10" ht="20" customHeight="1">
      <c r="B10" s="29" t="str">
        <f>St_Passed</f>
        <v>Passed</v>
      </c>
      <c r="C10" s="30">
        <f>C5</f>
        <v>38</v>
      </c>
      <c r="D10" s="31">
        <f>IF($B$5=0,0,C10/$B$5)</f>
        <v>0.826086956521739</v>
      </c>
    </row>
    <row r="11" ht="20" customHeight="1">
      <c r="B11" s="29" t="str">
        <f>St_Failed</f>
        <v>Failed</v>
      </c>
      <c r="C11" s="30">
        <f>D5</f>
        <v>8</v>
      </c>
      <c r="D11" s="31">
        <f>IF($B$5=0,0,C11/$B$5)</f>
        <v>0.173913043478261</v>
      </c>
    </row>
    <row r="12" ht="20" customHeight="1">
      <c r="B12" s="29" t="str">
        <f>St_Blocked</f>
        <v>Blocked</v>
      </c>
      <c r="C12" s="30">
        <f>E5</f>
        <v>0</v>
      </c>
      <c r="D12" s="31">
        <f>IF($B$5=0,0,C12/$B$5)</f>
        <v>0</v>
      </c>
    </row>
    <row r="13" ht="20" customHeight="1">
      <c r="B13" s="29" t="str">
        <f>St_Skipped</f>
        <v>Skipped</v>
      </c>
      <c r="C13" s="30">
        <f>F5</f>
        <v>0</v>
      </c>
      <c r="D13" s="31">
        <f>IF($B$5=0,0,C13/$B$5)</f>
        <v>0</v>
      </c>
    </row>
    <row r="14" ht="20" customHeight="1">
      <c r="B14" s="29" t="str">
        <f>St_NotRun</f>
        <v>Not Run</v>
      </c>
      <c r="C14" s="30">
        <f>G5</f>
        <v>0</v>
      </c>
      <c r="D14" s="31">
        <f>IF($B$5=0,0,C14/$B$5)</f>
        <v>0</v>
      </c>
    </row>
    <row r="16" ht="24" customHeight="1">
      <c r="B16" s="26" t="inlineStr">
        <is>
          <t>Failed tests by severity</t>
        </is>
      </c>
    </row>
    <row r="17" ht="22" customHeight="1">
      <c r="B17" s="27" t="inlineStr">
        <is>
          <t>Severity</t>
        </is>
      </c>
      <c r="C17" s="28" t="inlineStr">
        <is>
          <t>Failed</t>
        </is>
      </c>
      <c r="D17" s="28" t="inlineStr">
        <is>
          <t>Share</t>
        </is>
      </c>
    </row>
    <row r="18" ht="20" customHeight="1">
      <c r="B18" s="29" t="str">
        <f>IF(Lists!F5="","",Lists!F5)</f>
        <v>Critical</v>
      </c>
      <c r="C18" s="30">
        <f>IF($B18="","",COUNTIFS('Test Cases'!$B:$B,"?*",'Test Cases'!$G:$G,$B18,'Test Cases'!$F:$F,St_Failed))</f>
        <v>0</v>
      </c>
      <c r="D18" s="31">
        <f>IF($B18="","",IF($D$5=0,0,C18/$D$5))</f>
        <v>0</v>
      </c>
    </row>
    <row r="19" ht="20" customHeight="1">
      <c r="B19" s="29" t="str">
        <f>IF(Lists!F6="","",Lists!F6)</f>
        <v>High</v>
      </c>
      <c r="C19" s="30">
        <f>IF($B19="","",COUNTIFS('Test Cases'!$B:$B,"?*",'Test Cases'!$G:$G,$B19,'Test Cases'!$F:$F,St_Failed))</f>
        <v>0</v>
      </c>
      <c r="D19" s="31">
        <f>IF($B19="","",IF($D$5=0,0,C19/$D$5))</f>
        <v>0</v>
      </c>
    </row>
    <row r="20" ht="20" customHeight="1">
      <c r="B20" s="29" t="str">
        <f>IF(Lists!F7="","",Lists!F7)</f>
        <v>Medium</v>
      </c>
      <c r="C20" s="30">
        <f>IF($B20="","",COUNTIFS('Test Cases'!$B:$B,"?*",'Test Cases'!$G:$G,$B20,'Test Cases'!$F:$F,St_Failed))</f>
        <v>0</v>
      </c>
      <c r="D20" s="31">
        <f>IF($B20="","",IF($D$5=0,0,C20/$D$5))</f>
        <v>0</v>
      </c>
    </row>
    <row r="21" ht="20" customHeight="1">
      <c r="B21" s="29" t="str">
        <f>IF(Lists!F8="","",Lists!F8)</f>
        <v>Low</v>
      </c>
      <c r="C21" s="30">
        <f>IF($B21="","",COUNTIFS('Test Cases'!$B:$B,"?*",'Test Cases'!$G:$G,$B21,'Test Cases'!$F:$F,St_Failed))</f>
        <v>0</v>
      </c>
      <c r="D21" s="31">
        <f>IF($B21="","",IF($D$5=0,0,C21/$D$5))</f>
        <v>0</v>
      </c>
    </row>
    <row r="22" ht="20" customHeight="1">
      <c r="B22" s="32" t="inlineStr">
        <is>
          <t>Not set</t>
        </is>
      </c>
      <c r="C22" s="30">
        <f>COUNTIFS('Test Cases'!$B:$B,"?*",'Test Cases'!$G:$G,"",'Test Cases'!$F:$F,St_Failed)</f>
        <v>8</v>
      </c>
      <c r="D22" s="31">
        <f>IF($D$5=0,0,C22/$D$5)</f>
        <v>1</v>
      </c>
    </row>
    <row r="24" ht="24" customHeight="1">
      <c r="B24" s="26" t="inlineStr">
        <is>
          <t>Results by module</t>
        </is>
      </c>
    </row>
    <row r="25" ht="22" customHeight="1">
      <c r="B25" s="27" t="inlineStr">
        <is>
          <t>Feature / Module</t>
        </is>
      </c>
      <c r="C25" s="28" t="inlineStr">
        <is>
          <t>Total</t>
        </is>
      </c>
      <c r="D25" s="28" t="str">
        <f>St_Passed</f>
        <v>Passed</v>
      </c>
      <c r="E25" s="28" t="str">
        <f>St_Failed</f>
        <v>Failed</v>
      </c>
      <c r="F25" s="28" t="str">
        <f>St_Blocked</f>
        <v>Blocked</v>
      </c>
      <c r="G25" s="28" t="str">
        <f>St_Skipped</f>
        <v>Skipped</v>
      </c>
      <c r="H25" s="28" t="str">
        <f>St_NotRun</f>
        <v>Not Run</v>
      </c>
      <c r="I25" s="28" t="inlineStr">
        <is>
          <t>Pass rate</t>
        </is>
      </c>
    </row>
    <row r="26" ht="20" customHeight="1">
      <c r="B26" s="29" t="str">
        <f>IF(Lists!L5="","",Lists!L5)</f>
        <v>Cross-Browser Compatibility</v>
      </c>
      <c r="C26" s="30">
        <f>IF($B26="","",COUNTIFS('Test Cases'!$B:$B,"?*",'Test Cases'!$C:$C,$B26))</f>
        <v>4</v>
      </c>
      <c r="D26" s="30">
        <f>IF($B26="","",COUNTIFS('Test Cases'!$B:$B,"?*",'Test Cases'!$C:$C,$B26,'Test Cases'!$F:$F,St_Passed))</f>
        <v>4</v>
      </c>
      <c r="E26" s="30">
        <f>IF($B26="","",COUNTIFS('Test Cases'!$B:$B,"?*",'Test Cases'!$C:$C,$B26,'Test Cases'!$F:$F,St_Failed))</f>
        <v>0</v>
      </c>
      <c r="F26" s="30">
        <f>IF($B26="","",COUNTIFS('Test Cases'!$B:$B,"?*",'Test Cases'!$C:$C,$B26,'Test Cases'!$F:$F,St_Blocked))</f>
        <v>0</v>
      </c>
      <c r="G26" s="30">
        <f>IF($B26="","",COUNTIFS('Test Cases'!$B:$B,"?*",'Test Cases'!$C:$C,$B26,'Test Cases'!$F:$F,St_Skipped))</f>
        <v>0</v>
      </c>
      <c r="H26" s="30">
        <f>IF($B26="","",C26-SUM(D26:G26))</f>
        <v>0</v>
      </c>
      <c r="I26" s="31">
        <f>IF($B26="","",IF(D26+E26=0,"n/a",D26/(D26+E26)))</f>
        <v>1</v>
      </c>
    </row>
    <row r="27" ht="20" customHeight="1">
      <c r="B27" s="29" t="str">
        <f>IF(Lists!L6="","",Lists!L6)</f>
        <v>Product Search</v>
      </c>
      <c r="C27" s="30">
        <f>IF($B27="","",COUNTIFS('Test Cases'!$B:$B,"?*",'Test Cases'!$C:$C,$B27))</f>
        <v>5</v>
      </c>
      <c r="D27" s="30">
        <f>IF($B27="","",COUNTIFS('Test Cases'!$B:$B,"?*",'Test Cases'!$C:$C,$B27,'Test Cases'!$F:$F,St_Passed))</f>
        <v>2</v>
      </c>
      <c r="E27" s="30">
        <f>IF($B27="","",COUNTIFS('Test Cases'!$B:$B,"?*",'Test Cases'!$C:$C,$B27,'Test Cases'!$F:$F,St_Failed))</f>
        <v>3</v>
      </c>
      <c r="F27" s="30">
        <f>IF($B27="","",COUNTIFS('Test Cases'!$B:$B,"?*",'Test Cases'!$C:$C,$B27,'Test Cases'!$F:$F,St_Blocked))</f>
        <v>0</v>
      </c>
      <c r="G27" s="30">
        <f>IF($B27="","",COUNTIFS('Test Cases'!$B:$B,"?*",'Test Cases'!$C:$C,$B27,'Test Cases'!$F:$F,St_Skipped))</f>
        <v>0</v>
      </c>
      <c r="H27" s="30">
        <f>IF($B27="","",C27-SUM(D27:G27))</f>
        <v>0</v>
      </c>
      <c r="I27" s="31">
        <f>IF($B27="","",IF(D27+E27=0,"n/a",D27/(D27+E27)))</f>
        <v>0.4</v>
      </c>
    </row>
    <row r="28" ht="20" customHeight="1">
      <c r="B28" s="29" t="str">
        <f>IF(Lists!L7="","",Lists!L7)</f>
        <v>Account Creation</v>
      </c>
      <c r="C28" s="30">
        <f>IF($B28="","",COUNTIFS('Test Cases'!$B:$B,"?*",'Test Cases'!$C:$C,$B28))</f>
        <v>7</v>
      </c>
      <c r="D28" s="30">
        <f>IF($B28="","",COUNTIFS('Test Cases'!$B:$B,"?*",'Test Cases'!$C:$C,$B28,'Test Cases'!$F:$F,St_Passed))</f>
        <v>6</v>
      </c>
      <c r="E28" s="30">
        <f>IF($B28="","",COUNTIFS('Test Cases'!$B:$B,"?*",'Test Cases'!$C:$C,$B28,'Test Cases'!$F:$F,St_Failed))</f>
        <v>1</v>
      </c>
      <c r="F28" s="30">
        <f>IF($B28="","",COUNTIFS('Test Cases'!$B:$B,"?*",'Test Cases'!$C:$C,$B28,'Test Cases'!$F:$F,St_Blocked))</f>
        <v>0</v>
      </c>
      <c r="G28" s="30">
        <f>IF($B28="","",COUNTIFS('Test Cases'!$B:$B,"?*",'Test Cases'!$C:$C,$B28,'Test Cases'!$F:$F,St_Skipped))</f>
        <v>0</v>
      </c>
      <c r="H28" s="30">
        <f>IF($B28="","",C28-SUM(D28:G28))</f>
        <v>0</v>
      </c>
      <c r="I28" s="31">
        <f>IF($B28="","",IF(D28+E28=0,"n/a",D28/(D28+E28)))</f>
        <v>0.857142857142857</v>
      </c>
    </row>
    <row r="29" ht="20" customHeight="1">
      <c r="B29" s="29" t="str">
        <f>IF(Lists!L8="","",Lists!L8)</f>
        <v>Add to Cart</v>
      </c>
      <c r="C29" s="30">
        <f>IF($B29="","",COUNTIFS('Test Cases'!$B:$B,"?*",'Test Cases'!$C:$C,$B29))</f>
        <v>17</v>
      </c>
      <c r="D29" s="30">
        <f>IF($B29="","",COUNTIFS('Test Cases'!$B:$B,"?*",'Test Cases'!$C:$C,$B29,'Test Cases'!$F:$F,St_Passed))</f>
        <v>16</v>
      </c>
      <c r="E29" s="30">
        <f>IF($B29="","",COUNTIFS('Test Cases'!$B:$B,"?*",'Test Cases'!$C:$C,$B29,'Test Cases'!$F:$F,St_Failed))</f>
        <v>1</v>
      </c>
      <c r="F29" s="30">
        <f>IF($B29="","",COUNTIFS('Test Cases'!$B:$B,"?*",'Test Cases'!$C:$C,$B29,'Test Cases'!$F:$F,St_Blocked))</f>
        <v>0</v>
      </c>
      <c r="G29" s="30">
        <f>IF($B29="","",COUNTIFS('Test Cases'!$B:$B,"?*",'Test Cases'!$C:$C,$B29,'Test Cases'!$F:$F,St_Skipped))</f>
        <v>0</v>
      </c>
      <c r="H29" s="30">
        <f>IF($B29="","",C29-SUM(D29:G29))</f>
        <v>0</v>
      </c>
      <c r="I29" s="31">
        <f>IF($B29="","",IF(D29+E29=0,"n/a",D29/(D29+E29)))</f>
        <v>0.941176470588235</v>
      </c>
    </row>
    <row r="30" ht="20" customHeight="1">
      <c r="B30" s="29" t="str">
        <f>IF(Lists!L9="","",Lists!L9)</f>
        <v>Ordering</v>
      </c>
      <c r="C30" s="30">
        <f>IF($B30="","",COUNTIFS('Test Cases'!$B:$B,"?*",'Test Cases'!$C:$C,$B30))</f>
        <v>13</v>
      </c>
      <c r="D30" s="30">
        <f>IF($B30="","",COUNTIFS('Test Cases'!$B:$B,"?*",'Test Cases'!$C:$C,$B30,'Test Cases'!$F:$F,St_Passed))</f>
        <v>10</v>
      </c>
      <c r="E30" s="30">
        <f>IF($B30="","",COUNTIFS('Test Cases'!$B:$B,"?*",'Test Cases'!$C:$C,$B30,'Test Cases'!$F:$F,St_Failed))</f>
        <v>3</v>
      </c>
      <c r="F30" s="30">
        <f>IF($B30="","",COUNTIFS('Test Cases'!$B:$B,"?*",'Test Cases'!$C:$C,$B30,'Test Cases'!$F:$F,St_Blocked))</f>
        <v>0</v>
      </c>
      <c r="G30" s="30">
        <f>IF($B30="","",COUNTIFS('Test Cases'!$B:$B,"?*",'Test Cases'!$C:$C,$B30,'Test Cases'!$F:$F,St_Skipped))</f>
        <v>0</v>
      </c>
      <c r="H30" s="30">
        <f>IF($B30="","",C30-SUM(D30:G30))</f>
        <v>0</v>
      </c>
      <c r="I30" s="31">
        <f>IF($B30="","",IF(D30+E30=0,"n/a",D30/(D30+E30)))</f>
        <v>0.769230769230769</v>
      </c>
    </row>
    <row r="31" ht="20" customHeight="1">
      <c r="B31" s="29" t="str">
        <f>IF(Lists!L10="","",Lists!L10)</f>
        <v/>
      </c>
      <c r="C31" s="30" t="str">
        <f>IF($B31="","",COUNTIFS('Test Cases'!$B:$B,"?*",'Test Cases'!$C:$C,$B31))</f>
        <v/>
      </c>
      <c r="D31" s="30" t="str">
        <f>IF($B31="","",COUNTIFS('Test Cases'!$B:$B,"?*",'Test Cases'!$C:$C,$B31,'Test Cases'!$F:$F,St_Passed))</f>
        <v/>
      </c>
      <c r="E31" s="30" t="str">
        <f>IF($B31="","",COUNTIFS('Test Cases'!$B:$B,"?*",'Test Cases'!$C:$C,$B31,'Test Cases'!$F:$F,St_Failed))</f>
        <v/>
      </c>
      <c r="F31" s="30" t="str">
        <f>IF($B31="","",COUNTIFS('Test Cases'!$B:$B,"?*",'Test Cases'!$C:$C,$B31,'Test Cases'!$F:$F,St_Blocked))</f>
        <v/>
      </c>
      <c r="G31" s="30" t="str">
        <f>IF($B31="","",COUNTIFS('Test Cases'!$B:$B,"?*",'Test Cases'!$C:$C,$B31,'Test Cases'!$F:$F,St_Skipped))</f>
        <v/>
      </c>
      <c r="H31" s="30" t="str">
        <f>IF($B31="","",C31-SUM(D31:G31))</f>
        <v/>
      </c>
      <c r="I31" s="31" t="str">
        <f>IF($B31="","",IF(D31+E31=0,"n/a",D31/(D31+E31)))</f>
        <v/>
      </c>
    </row>
    <row r="32" ht="20" customHeight="1">
      <c r="B32" s="29" t="str">
        <f>IF(Lists!L11="","",Lists!L11)</f>
        <v/>
      </c>
      <c r="C32" s="30" t="str">
        <f>IF($B32="","",COUNTIFS('Test Cases'!$B:$B,"?*",'Test Cases'!$C:$C,$B32))</f>
        <v/>
      </c>
      <c r="D32" s="30" t="str">
        <f>IF($B32="","",COUNTIFS('Test Cases'!$B:$B,"?*",'Test Cases'!$C:$C,$B32,'Test Cases'!$F:$F,St_Passed))</f>
        <v/>
      </c>
      <c r="E32" s="30" t="str">
        <f>IF($B32="","",COUNTIFS('Test Cases'!$B:$B,"?*",'Test Cases'!$C:$C,$B32,'Test Cases'!$F:$F,St_Failed))</f>
        <v/>
      </c>
      <c r="F32" s="30" t="str">
        <f>IF($B32="","",COUNTIFS('Test Cases'!$B:$B,"?*",'Test Cases'!$C:$C,$B32,'Test Cases'!$F:$F,St_Blocked))</f>
        <v/>
      </c>
      <c r="G32" s="30" t="str">
        <f>IF($B32="","",COUNTIFS('Test Cases'!$B:$B,"?*",'Test Cases'!$C:$C,$B32,'Test Cases'!$F:$F,St_Skipped))</f>
        <v/>
      </c>
      <c r="H32" s="30" t="str">
        <f>IF($B32="","",C32-SUM(D32:G32))</f>
        <v/>
      </c>
      <c r="I32" s="31" t="str">
        <f>IF($B32="","",IF(D32+E32=0,"n/a",D32/(D32+E32)))</f>
        <v/>
      </c>
    </row>
    <row r="33" ht="20" customHeight="1">
      <c r="B33" s="29" t="str">
        <f>IF(Lists!L12="","",Lists!L12)</f>
        <v/>
      </c>
      <c r="C33" s="30" t="str">
        <f>IF($B33="","",COUNTIFS('Test Cases'!$B:$B,"?*",'Test Cases'!$C:$C,$B33))</f>
        <v/>
      </c>
      <c r="D33" s="30" t="str">
        <f>IF($B33="","",COUNTIFS('Test Cases'!$B:$B,"?*",'Test Cases'!$C:$C,$B33,'Test Cases'!$F:$F,St_Passed))</f>
        <v/>
      </c>
      <c r="E33" s="30" t="str">
        <f>IF($B33="","",COUNTIFS('Test Cases'!$B:$B,"?*",'Test Cases'!$C:$C,$B33,'Test Cases'!$F:$F,St_Failed))</f>
        <v/>
      </c>
      <c r="F33" s="30" t="str">
        <f>IF($B33="","",COUNTIFS('Test Cases'!$B:$B,"?*",'Test Cases'!$C:$C,$B33,'Test Cases'!$F:$F,St_Blocked))</f>
        <v/>
      </c>
      <c r="G33" s="30" t="str">
        <f>IF($B33="","",COUNTIFS('Test Cases'!$B:$B,"?*",'Test Cases'!$C:$C,$B33,'Test Cases'!$F:$F,St_Skipped))</f>
        <v/>
      </c>
      <c r="H33" s="30" t="str">
        <f>IF($B33="","",C33-SUM(D33:G33))</f>
        <v/>
      </c>
      <c r="I33" s="31" t="str">
        <f>IF($B33="","",IF(D33+E33=0,"n/a",D33/(D33+E33)))</f>
        <v/>
      </c>
    </row>
    <row r="34" ht="20" customHeight="1">
      <c r="B34" s="29" t="str">
        <f>IF(Lists!L13="","",Lists!L13)</f>
        <v/>
      </c>
      <c r="C34" s="30" t="str">
        <f>IF($B34="","",COUNTIFS('Test Cases'!$B:$B,"?*",'Test Cases'!$C:$C,$B34))</f>
        <v/>
      </c>
      <c r="D34" s="30" t="str">
        <f>IF($B34="","",COUNTIFS('Test Cases'!$B:$B,"?*",'Test Cases'!$C:$C,$B34,'Test Cases'!$F:$F,St_Passed))</f>
        <v/>
      </c>
      <c r="E34" s="30" t="str">
        <f>IF($B34="","",COUNTIFS('Test Cases'!$B:$B,"?*",'Test Cases'!$C:$C,$B34,'Test Cases'!$F:$F,St_Failed))</f>
        <v/>
      </c>
      <c r="F34" s="30" t="str">
        <f>IF($B34="","",COUNTIFS('Test Cases'!$B:$B,"?*",'Test Cases'!$C:$C,$B34,'Test Cases'!$F:$F,St_Blocked))</f>
        <v/>
      </c>
      <c r="G34" s="30" t="str">
        <f>IF($B34="","",COUNTIFS('Test Cases'!$B:$B,"?*",'Test Cases'!$C:$C,$B34,'Test Cases'!$F:$F,St_Skipped))</f>
        <v/>
      </c>
      <c r="H34" s="30" t="str">
        <f>IF($B34="","",C34-SUM(D34:G34))</f>
        <v/>
      </c>
      <c r="I34" s="31" t="str">
        <f>IF($B34="","",IF(D34+E34=0,"n/a",D34/(D34+E34)))</f>
        <v/>
      </c>
    </row>
    <row r="35" ht="20" customHeight="1">
      <c r="B35" s="29" t="str">
        <f>IF(Lists!L14="","",Lists!L14)</f>
        <v/>
      </c>
      <c r="C35" s="30" t="str">
        <f>IF($B35="","",COUNTIFS('Test Cases'!$B:$B,"?*",'Test Cases'!$C:$C,$B35))</f>
        <v/>
      </c>
      <c r="D35" s="30" t="str">
        <f>IF($B35="","",COUNTIFS('Test Cases'!$B:$B,"?*",'Test Cases'!$C:$C,$B35,'Test Cases'!$F:$F,St_Passed))</f>
        <v/>
      </c>
      <c r="E35" s="30" t="str">
        <f>IF($B35="","",COUNTIFS('Test Cases'!$B:$B,"?*",'Test Cases'!$C:$C,$B35,'Test Cases'!$F:$F,St_Failed))</f>
        <v/>
      </c>
      <c r="F35" s="30" t="str">
        <f>IF($B35="","",COUNTIFS('Test Cases'!$B:$B,"?*",'Test Cases'!$C:$C,$B35,'Test Cases'!$F:$F,St_Blocked))</f>
        <v/>
      </c>
      <c r="G35" s="30" t="str">
        <f>IF($B35="","",COUNTIFS('Test Cases'!$B:$B,"?*",'Test Cases'!$C:$C,$B35,'Test Cases'!$F:$F,St_Skipped))</f>
        <v/>
      </c>
      <c r="H35" s="30" t="str">
        <f>IF($B35="","",C35-SUM(D35:G35))</f>
        <v/>
      </c>
      <c r="I35" s="31" t="str">
        <f>IF($B35="","",IF(D35+E35=0,"n/a",D35/(D35+E35)))</f>
        <v/>
      </c>
    </row>
    <row r="36" ht="20" customHeight="1">
      <c r="B36" s="29" t="str">
        <f>IF(Lists!L15="","",Lists!L15)</f>
        <v/>
      </c>
      <c r="C36" s="30" t="str">
        <f>IF($B36="","",COUNTIFS('Test Cases'!$B:$B,"?*",'Test Cases'!$C:$C,$B36))</f>
        <v/>
      </c>
      <c r="D36" s="30" t="str">
        <f>IF($B36="","",COUNTIFS('Test Cases'!$B:$B,"?*",'Test Cases'!$C:$C,$B36,'Test Cases'!$F:$F,St_Passed))</f>
        <v/>
      </c>
      <c r="E36" s="30" t="str">
        <f>IF($B36="","",COUNTIFS('Test Cases'!$B:$B,"?*",'Test Cases'!$C:$C,$B36,'Test Cases'!$F:$F,St_Failed))</f>
        <v/>
      </c>
      <c r="F36" s="30" t="str">
        <f>IF($B36="","",COUNTIFS('Test Cases'!$B:$B,"?*",'Test Cases'!$C:$C,$B36,'Test Cases'!$F:$F,St_Blocked))</f>
        <v/>
      </c>
      <c r="G36" s="30" t="str">
        <f>IF($B36="","",COUNTIFS('Test Cases'!$B:$B,"?*",'Test Cases'!$C:$C,$B36,'Test Cases'!$F:$F,St_Skipped))</f>
        <v/>
      </c>
      <c r="H36" s="30" t="str">
        <f>IF($B36="","",C36-SUM(D36:G36))</f>
        <v/>
      </c>
      <c r="I36" s="31" t="str">
        <f>IF($B36="","",IF(D36+E36=0,"n/a",D36/(D36+E36)))</f>
        <v/>
      </c>
    </row>
    <row r="37" ht="20" customHeight="1">
      <c r="B37" s="29" t="str">
        <f>IF(Lists!L16="","",Lists!L16)</f>
        <v/>
      </c>
      <c r="C37" s="30" t="str">
        <f>IF($B37="","",COUNTIFS('Test Cases'!$B:$B,"?*",'Test Cases'!$C:$C,$B37))</f>
        <v/>
      </c>
      <c r="D37" s="30" t="str">
        <f>IF($B37="","",COUNTIFS('Test Cases'!$B:$B,"?*",'Test Cases'!$C:$C,$B37,'Test Cases'!$F:$F,St_Passed))</f>
        <v/>
      </c>
      <c r="E37" s="30" t="str">
        <f>IF($B37="","",COUNTIFS('Test Cases'!$B:$B,"?*",'Test Cases'!$C:$C,$B37,'Test Cases'!$F:$F,St_Failed))</f>
        <v/>
      </c>
      <c r="F37" s="30" t="str">
        <f>IF($B37="","",COUNTIFS('Test Cases'!$B:$B,"?*",'Test Cases'!$C:$C,$B37,'Test Cases'!$F:$F,St_Blocked))</f>
        <v/>
      </c>
      <c r="G37" s="30" t="str">
        <f>IF($B37="","",COUNTIFS('Test Cases'!$B:$B,"?*",'Test Cases'!$C:$C,$B37,'Test Cases'!$F:$F,St_Skipped))</f>
        <v/>
      </c>
      <c r="H37" s="30" t="str">
        <f>IF($B37="","",C37-SUM(D37:G37))</f>
        <v/>
      </c>
      <c r="I37" s="31" t="str">
        <f>IF($B37="","",IF(D37+E37=0,"n/a",D37/(D37+E37)))</f>
        <v/>
      </c>
    </row>
    <row r="38" ht="20" customHeight="1">
      <c r="B38" s="32" t="inlineStr">
        <is>
          <t>Other / no module</t>
        </is>
      </c>
      <c r="C38" s="30">
        <f>B5-SUM(C26:C37)</f>
        <v>0</v>
      </c>
      <c r="D38" s="30">
        <f>C5-SUM(D26:D37)</f>
        <v>0</v>
      </c>
      <c r="E38" s="30">
        <f>D5-SUM(E26:E37)</f>
        <v>0</v>
      </c>
      <c r="F38" s="30">
        <f>E5-SUM(F26:F37)</f>
        <v>0</v>
      </c>
      <c r="G38" s="30">
        <f>F5-SUM(G26:G37)</f>
        <v>0</v>
      </c>
      <c r="H38" s="30">
        <f>C38-SUM(D38:G38)</f>
        <v>0</v>
      </c>
      <c r="I38" s="31" t="str">
        <f>IF(D38+E38=0,"n/a",D38/(D38+E38))</f>
        <v>n/a</v>
      </c>
    </row>
    <row r="39" ht="20" customHeight="1">
      <c r="B39" s="33" t="inlineStr">
        <is>
          <t>Total</t>
        </is>
      </c>
      <c r="C39" s="34">
        <f>SUM(C26:C38)</f>
        <v>46</v>
      </c>
      <c r="D39" s="34">
        <f>SUM(D26:D38)</f>
        <v>38</v>
      </c>
      <c r="E39" s="34">
        <f>SUM(E26:E38)</f>
        <v>8</v>
      </c>
      <c r="F39" s="34">
        <f>SUM(F26:F38)</f>
        <v>0</v>
      </c>
      <c r="G39" s="34">
        <f>SUM(G26:G38)</f>
        <v>0</v>
      </c>
      <c r="H39" s="34">
        <f>SUM(H26:H38)</f>
        <v>0</v>
      </c>
      <c r="I39" s="35">
        <f>IF(D39+E39=0,"n/a",D39/(D39+E39))</f>
        <v>0.826086956521739</v>
      </c>
    </row>
    <row r="41" ht="24" customHeight="1">
      <c r="B41" s="26" t="inlineStr">
        <is>
          <t>Data quality</t>
        </is>
      </c>
    </row>
    <row r="42">
      <c r="B42" s="36" t="inlineStr">
        <is>
          <t>Incomplete or flagged test cases</t>
        </is>
      </c>
      <c r="E42" s="37">
        <f>COUNTIF('Test Cases'!$R:$R,"?*")-COUNTIF('Test Cases'!$R:$R,"OK")-1</f>
        <v>0</v>
      </c>
      <c r="F42" s="38" t="inlineStr">
        <is>
          <t>See the Check column on Test Cases.</t>
        </is>
      </c>
    </row>
    <row r="44">
      <c r="B44" s="39" t="inlineStr">
        <is>
          <t>How it is calculated: Total = rows with a title. Pass rate = Passed ÷ (Passed + Failed). Progress = share of tests whose status is anything other than Not Run. Not Run = Total minus the other four statuses, so an empty status counts as Not Run.</t>
        </is>
      </c>
    </row>
    <row r="45"/>
    <row r="46"/>
  </sheetData>
  <mergeCells count="1">
    <mergeCell ref="B44:I46"/>
  </mergeCells>
  <conditionalFormatting sqref="I26:I38">
    <cfRule type="dataBar" priority="1">
      <dataBar showValue="1">
        <cfvo type="num" val="0"/>
        <cfvo type="num" val="1"/>
        <color rgb="008CC0F5"/>
      </dataBar>
    </cfRule>
  </conditionalFormatting>
  <pageMargins left="0.75" right="0.75" top="1" bottom="1" header="0.5" footer="0.5"/>
  <pageSetup orientation="portrait" fitToHeight="1" fitToWidth="1"/>
  <drawing xmlns:r="http://schemas.openxmlformats.org/officeDocument/2006/relationships" r:id="rId1"/>
</worksheet>
</file>

<file path=xl/worksheets/sheet3.xml><?xml version="1.0" encoding="utf-8"?>
<worksheet xmlns="http://schemas.openxmlformats.org/spreadsheetml/2006/main">
  <sheetPr>
    <tabColor rgb="000071E3"/>
    <outlinePr summaryBelow="1" summaryRight="1"/>
    <pageSetUpPr fitToPage="1"/>
  </sheetPr>
  <dimension ref="A1:R504"/>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22" customWidth="1" min="3" max="3"/>
    <col width="14" customWidth="1" min="4" max="4"/>
    <col width="10" customWidth="1" min="5" max="5"/>
    <col width="11" customWidth="1" min="6" max="6"/>
    <col width="10" customWidth="1" min="7" max="7"/>
    <col width="32" customWidth="1" min="8" max="8"/>
    <col width="40" customWidth="1" min="9" max="9"/>
    <col width="50" customWidth="1" min="10" max="10"/>
    <col width="42" customWidth="1" min="11" max="11"/>
    <col width="38" customWidth="1" min="12" max="12"/>
    <col width="14" customWidth="1" min="13" max="13"/>
    <col width="14" customWidth="1" min="14" max="14"/>
    <col width="12" customWidth="1" min="15" max="15"/>
    <col width="34" customWidth="1" min="16" max="16"/>
    <col width="56" customWidth="1" min="17" max="17"/>
    <col width="20" customWidth="1" min="18" max="18"/>
  </cols>
  <sheetData>
    <row r="1" ht="34" customHeight="1">
      <c r="A1" s="15" t="inlineStr">
        <is>
          <t>Test Cases</t>
        </is>
      </c>
    </row>
    <row r="2">
      <c r="A2" s="16" t="inlineStr">
        <is>
          <t>Rows with an SMP- ID are samples from a private testing project on the Luma demo store. Edit or delete them and add your own below. Click a Status, Priority, Severity, Type, Module or Environment cell and use the arrow to choose.</t>
        </is>
      </c>
    </row>
    <row r="3" ht="20" customHeight="1">
      <c r="D3" s="40" t="inlineStr">
        <is>
          <t>Next ID</t>
        </is>
      </c>
      <c r="E3" s="41" t="str">
        <f>IDPrefix&amp;"-"&amp;TEXT(COUNTIF($A:$A,IDPrefix&amp;"-*")+1,"000")</f>
        <v>TC-001</v>
      </c>
      <c r="F3" s="42" t="inlineStr">
        <is>
          <t>type it in the ID column of your new row</t>
        </is>
      </c>
    </row>
    <row r="4" ht="34" customHeight="1">
      <c r="A4" s="43" t="inlineStr">
        <is>
          <t>Test Case ID</t>
        </is>
      </c>
      <c r="B4" s="43" t="inlineStr">
        <is>
          <t>Test Case Title</t>
        </is>
      </c>
      <c r="C4" s="43" t="inlineStr">
        <is>
          <t>Feature / Module</t>
        </is>
      </c>
      <c r="D4" s="43" t="inlineStr">
        <is>
          <t>Test Type</t>
        </is>
      </c>
      <c r="E4" s="43" t="inlineStr">
        <is>
          <t>Priority</t>
        </is>
      </c>
      <c r="F4" s="43" t="inlineStr">
        <is>
          <t>Status</t>
        </is>
      </c>
      <c r="G4" s="43" t="inlineStr">
        <is>
          <t>Severity</t>
        </is>
      </c>
      <c r="H4" s="43" t="inlineStr">
        <is>
          <t>Preconditions</t>
        </is>
      </c>
      <c r="I4" s="43" t="inlineStr">
        <is>
          <t>Test Data</t>
        </is>
      </c>
      <c r="J4" s="43" t="inlineStr">
        <is>
          <t>Test Steps</t>
        </is>
      </c>
      <c r="K4" s="43" t="inlineStr">
        <is>
          <t>Expected Result</t>
        </is>
      </c>
      <c r="L4" s="43" t="inlineStr">
        <is>
          <t>Actual Result</t>
        </is>
      </c>
      <c r="M4" s="43" t="inlineStr">
        <is>
          <t>Environment</t>
        </is>
      </c>
      <c r="N4" s="43" t="inlineStr">
        <is>
          <t>Tester</t>
        </is>
      </c>
      <c r="O4" s="43" t="inlineStr">
        <is>
          <t>Execution Date</t>
        </is>
      </c>
      <c r="P4" s="43" t="inlineStr">
        <is>
          <t>Notes</t>
        </is>
      </c>
      <c r="Q4" s="43" t="inlineStr">
        <is>
          <t>Scenario (Given / When / Then)</t>
        </is>
      </c>
      <c r="R4" s="43" t="inlineStr">
        <is>
          <t>Check</t>
        </is>
      </c>
    </row>
    <row r="5" ht="110" customHeight="1">
      <c r="A5" s="44" t="inlineStr">
        <is>
          <t>SMP-001</t>
        </is>
      </c>
      <c r="B5" s="45" t="inlineStr">
        <is>
          <t>Website compatibility with Safari</t>
        </is>
      </c>
      <c r="C5" s="45" t="inlineStr">
        <is>
          <t>Cross-Browser Compatibility</t>
        </is>
      </c>
      <c r="D5" s="45" t="inlineStr">
        <is>
          <t>Compatibility</t>
        </is>
      </c>
      <c r="E5" s="44" t="n"/>
      <c r="F5" s="44" t="inlineStr">
        <is>
          <t>Passed</t>
        </is>
      </c>
      <c r="G5" s="44" t="n"/>
      <c r="H5" s="45" t="inlineStr">
        <is>
          <t>Computer/laptop with the Safari browser installed.</t>
        </is>
      </c>
      <c r="I5" s="45" t="inlineStr">
        <is>
          <t>URL: https://magento.softwaretestingboard.com/</t>
        </is>
      </c>
      <c r="J5" s="45" t="inlineStr">
        <is>
          <t>1. Open Safari.
2. Go to the Luma website.
3. Scroll through the site.
4. Open a random product.</t>
        </is>
      </c>
      <c r="K5" s="45" t="inlineStr">
        <is>
          <t>The website is compatible with the browser: it is fully functional and the layout is not broken.</t>
        </is>
      </c>
      <c r="L5" s="45" t="n"/>
      <c r="M5" s="45" t="n"/>
      <c r="N5" s="45" t="n"/>
      <c r="O5" s="46" t="n"/>
      <c r="P5" s="45" t="n"/>
      <c r="Q5" s="45" t="inlineStr">
        <is>
          <t>Given that you have a computer/laptop that has a Safari Browser
When you access Luma's website on the Safari Browser
And scroll through the website
And click on a product you desire
Then the website should be compatible with your browser, meaning it should be fully functional and the layout shouldn't be broken</t>
        </is>
      </c>
      <c r="R5" s="45" t="str">
        <f>IF(AND(A5="",B5=""),"",IF(A5="","Missing ID",IF(COUNTIF($A:$A,A5)&gt;1,"Duplicate ID",IF(B5="","Missing title",IF(C5="","Missing module",IF(J5="","Missing steps",IF(K5="","Missing expected result",IF(AND(F5=St_Failed,L5=""),"Add actual result","OK"))))))))</f>
        <v>OK</v>
      </c>
    </row>
    <row r="6" ht="97.25" customHeight="1">
      <c r="A6" s="44" t="inlineStr">
        <is>
          <t>SMP-002</t>
        </is>
      </c>
      <c r="B6" s="45" t="inlineStr">
        <is>
          <t>Website compatibility with Google Chrome</t>
        </is>
      </c>
      <c r="C6" s="45" t="inlineStr">
        <is>
          <t>Cross-Browser Compatibility</t>
        </is>
      </c>
      <c r="D6" s="45" t="inlineStr">
        <is>
          <t>Compatibility</t>
        </is>
      </c>
      <c r="E6" s="44" t="n"/>
      <c r="F6" s="44" t="inlineStr">
        <is>
          <t>Passed</t>
        </is>
      </c>
      <c r="G6" s="44" t="n"/>
      <c r="H6" s="45" t="inlineStr">
        <is>
          <t>Computer/laptop with the Google Chrome browser installed.</t>
        </is>
      </c>
      <c r="I6" s="45" t="inlineStr">
        <is>
          <t>URL: https://magento.softwaretestingboard.com/</t>
        </is>
      </c>
      <c r="J6" s="45" t="inlineStr">
        <is>
          <t>1. Open Google Chrome.
2. Go to the Luma website.
3. Scroll through the site.
4. Open a random product.</t>
        </is>
      </c>
      <c r="K6" s="45" t="inlineStr">
        <is>
          <t>The website is compatible with the browser: it is fully functional and the layout is not broken.</t>
        </is>
      </c>
      <c r="L6" s="45" t="n"/>
      <c r="M6" s="45" t="n"/>
      <c r="N6" s="45" t="n"/>
      <c r="O6" s="46" t="n"/>
      <c r="P6" s="45" t="n"/>
      <c r="Q6" s="45" t="inlineStr">
        <is>
          <t>Given that your laptop/computer has a Google Chrome browser
When you access Luma's website on your Chrome
And scroll through the website
And click on a product you desire
Then the website should be compatible with your browser, meaning it should be fully functional and the layout shouldn't be broken</t>
        </is>
      </c>
      <c r="R6" s="45" t="str">
        <f>IF(AND(A6="",B6=""),"",IF(A6="","Missing ID",IF(COUNTIF($A:$A,A6)&gt;1,"Duplicate ID",IF(B6="","Missing title",IF(C6="","Missing module",IF(J6="","Missing steps",IF(K6="","Missing expected result",IF(AND(F6=St_Failed,L6=""),"Add actual result","OK"))))))))</f>
        <v>OK</v>
      </c>
    </row>
    <row r="7" ht="110" customHeight="1">
      <c r="A7" s="44" t="inlineStr">
        <is>
          <t>SMP-003</t>
        </is>
      </c>
      <c r="B7" s="45" t="inlineStr">
        <is>
          <t>Website compatibility with Firefox</t>
        </is>
      </c>
      <c r="C7" s="45" t="inlineStr">
        <is>
          <t>Cross-Browser Compatibility</t>
        </is>
      </c>
      <c r="D7" s="45" t="inlineStr">
        <is>
          <t>Compatibility</t>
        </is>
      </c>
      <c r="E7" s="44" t="n"/>
      <c r="F7" s="44" t="inlineStr">
        <is>
          <t>Passed</t>
        </is>
      </c>
      <c r="G7" s="44" t="n"/>
      <c r="H7" s="45" t="inlineStr">
        <is>
          <t>Computer/laptop with the Firefox browser installed.</t>
        </is>
      </c>
      <c r="I7" s="45" t="inlineStr">
        <is>
          <t>URL: https://magento.softwaretestingboard.com/</t>
        </is>
      </c>
      <c r="J7" s="45" t="inlineStr">
        <is>
          <t>1. Open Firefox.
2. Go to the Luma website.
3. Scroll through the site.
4. Open a random product.</t>
        </is>
      </c>
      <c r="K7" s="45" t="inlineStr">
        <is>
          <t>The website is compatible with the browser: it is fully functional and the layout is not broken.</t>
        </is>
      </c>
      <c r="L7" s="45" t="n"/>
      <c r="M7" s="45" t="n"/>
      <c r="N7" s="45" t="n"/>
      <c r="O7" s="46" t="n"/>
      <c r="P7" s="45" t="inlineStr">
        <is>
          <t>The original test-case sheet listed Internet Explorer here (with Microsoft Edge noted); the original run sheet executed Firefox. This workbook follows the run sheet.</t>
        </is>
      </c>
      <c r="Q7" s="45" t="inlineStr">
        <is>
          <t>Given that you have a computer/laptop with the Firefox browser
When you access Luma's website on Firefox
And scroll through the website
And click on a product you desire
Then the website should be compatible with your browser, meaning it should be fully functional and the layout shouldn't be broken</t>
        </is>
      </c>
      <c r="R7" s="45" t="str">
        <f>IF(AND(A7="",B7=""),"",IF(A7="","Missing ID",IF(COUNTIF($A:$A,A7)&gt;1,"Duplicate ID",IF(B7="","Missing title",IF(C7="","Missing module",IF(J7="","Missing steps",IF(K7="","Missing expected result",IF(AND(F7=St_Failed,L7=""),"Add actual result","OK"))))))))</f>
        <v>OK</v>
      </c>
    </row>
    <row r="8" ht="110" customHeight="1">
      <c r="A8" s="44" t="inlineStr">
        <is>
          <t>SMP-004</t>
        </is>
      </c>
      <c r="B8" s="45" t="inlineStr">
        <is>
          <t>Search by keyword</t>
        </is>
      </c>
      <c r="C8" s="45" t="inlineStr">
        <is>
          <t>Product Search</t>
        </is>
      </c>
      <c r="D8" s="45" t="inlineStr">
        <is>
          <t>Functional</t>
        </is>
      </c>
      <c r="E8" s="44" t="n"/>
      <c r="F8" s="44" t="inlineStr">
        <is>
          <t>Failed</t>
        </is>
      </c>
      <c r="G8" s="44" t="n"/>
      <c r="H8" s="45" t="inlineStr">
        <is>
          <t>User is on the Luma home page.</t>
        </is>
      </c>
      <c r="I8" s="45" t="inlineStr">
        <is>
          <t>Keyword: "Jacket"</t>
        </is>
      </c>
      <c r="J8" s="45" t="inlineStr">
        <is>
          <t>1. Click the search bar ("Search entire store here").
2. Type a keyword for the desired product (see Test Data).
3. Press Enter or click the magnifying-glass icon.
4. Review the products in the results.</t>
        </is>
      </c>
      <c r="K8" s="45" t="inlineStr">
        <is>
          <t>The results only contain products that match the keyword.</t>
        </is>
      </c>
      <c r="L8" s="45" t="inlineStr">
        <is>
          <t>Products that do not contain the keyword appear in the search results.</t>
        </is>
      </c>
      <c r="M8" s="45" t="n"/>
      <c r="N8" s="45" t="n"/>
      <c r="O8" s="46" t="n"/>
      <c r="P8" s="45" t="n"/>
      <c r="Q8" s="45" t="inlineStr">
        <is>
          <t>Given that you are at Luma's home page
When you click on the Search Bar that says "Search entire store here"
And type a keyword of the desired product
And click "Enter" or click on the magnifying glass icon to search
Then the results should ONLY have products that contain the keyword</t>
        </is>
      </c>
      <c r="R8" s="45" t="str">
        <f>IF(AND(A8="",B8=""),"",IF(A8="","Missing ID",IF(COUNTIF($A:$A,A8)&gt;1,"Duplicate ID",IF(B8="","Missing title",IF(C8="","Missing module",IF(J8="","Missing steps",IF(K8="","Missing expected result",IF(AND(F8=St_Failed,L8=""),"Add actual result","OK"))))))))</f>
        <v>OK</v>
      </c>
    </row>
    <row r="9" ht="122.75" customHeight="1">
      <c r="A9" s="44" t="inlineStr">
        <is>
          <t>SMP-005</t>
        </is>
      </c>
      <c r="B9" s="45" t="inlineStr">
        <is>
          <t>Search by exact product title</t>
        </is>
      </c>
      <c r="C9" s="45" t="inlineStr">
        <is>
          <t>Product Search</t>
        </is>
      </c>
      <c r="D9" s="45" t="inlineStr">
        <is>
          <t>Functional</t>
        </is>
      </c>
      <c r="E9" s="44" t="n"/>
      <c r="F9" s="44" t="inlineStr">
        <is>
          <t>Failed</t>
        </is>
      </c>
      <c r="G9" s="44" t="n"/>
      <c r="H9" s="45" t="inlineStr">
        <is>
          <t>User is on the Luma home page.</t>
        </is>
      </c>
      <c r="I9" s="45" t="inlineStr">
        <is>
          <t>Product title: "Lucia Cross-Fit Bra"</t>
        </is>
      </c>
      <c r="J9" s="45" t="inlineStr">
        <is>
          <t>1. Click the search bar.
2. Type the exact title of a product (see Test Data).
3. Press Enter or click the magnifying-glass icon.
4. Review the products in the results.</t>
        </is>
      </c>
      <c r="K9" s="45" t="inlineStr">
        <is>
          <t>The searched product appears first, followed by similar products with similar words in their titles. No unrelated products appear.</t>
        </is>
      </c>
      <c r="L9" s="45" t="inlineStr">
        <is>
          <t>The searched product and similar products appear, but unrelated random products also appear at the end of the results.</t>
        </is>
      </c>
      <c r="M9" s="45" t="n"/>
      <c r="N9" s="45" t="n"/>
      <c r="O9" s="46" t="n"/>
      <c r="P9" s="45" t="inlineStr">
        <is>
          <t>The original run sheet used "Fusion Backpack" as the product title.</t>
        </is>
      </c>
      <c r="Q9" s="45" t="inlineStr">
        <is>
          <t>Given that you are at Luma's home page
When you click on the Search Bar that says "Search entire store here"
And you type the exact title of the desired product
And click "Enter" or click on the magnifying glass icon to search
Then the desired product should be the first one that appears
And other similar products to the one you searched for should appear</t>
        </is>
      </c>
      <c r="R9" s="45" t="str">
        <f>IF(AND(A9="",B9=""),"",IF(A9="","Missing ID",IF(COUNTIF($A:$A,A9)&gt;1,"Duplicate ID",IF(B9="","Missing title",IF(C9="","Missing module",IF(J9="","Missing steps",IF(K9="","Missing expected result",IF(AND(F9=St_Failed,L9=""),"Add actual result","OK"))))))))</f>
        <v>OK</v>
      </c>
    </row>
    <row r="10" ht="122.75" customHeight="1">
      <c r="A10" s="44" t="inlineStr">
        <is>
          <t>SMP-006</t>
        </is>
      </c>
      <c r="B10" s="45" t="inlineStr">
        <is>
          <t>Search for a product that does not exist</t>
        </is>
      </c>
      <c r="C10" s="45" t="inlineStr">
        <is>
          <t>Product Search</t>
        </is>
      </c>
      <c r="D10" s="45" t="inlineStr">
        <is>
          <t>Negative</t>
        </is>
      </c>
      <c r="E10" s="44" t="n"/>
      <c r="F10" s="44" t="inlineStr">
        <is>
          <t>Failed</t>
        </is>
      </c>
      <c r="G10" s="44" t="n"/>
      <c r="H10" s="45" t="inlineStr">
        <is>
          <t>User is on the Luma home page.</t>
        </is>
      </c>
      <c r="I10" s="45" t="inlineStr">
        <is>
          <t>Search text: "Iphone 13 pro max"</t>
        </is>
      </c>
      <c r="J10" s="45" t="inlineStr">
        <is>
          <t>1. Click the search bar.
2. Type the title of a product that does not exist in the store (see Test Data).
3. Run the search.</t>
        </is>
      </c>
      <c r="K10" s="45" t="inlineStr">
        <is>
          <t>No products are shown and the message "Your search returned no results" is displayed.</t>
        </is>
      </c>
      <c r="L10" s="45" t="inlineStr">
        <is>
          <t>Products unrelated to the search appear in the results.</t>
        </is>
      </c>
      <c r="M10" s="45" t="n"/>
      <c r="N10" s="45" t="n"/>
      <c r="O10" s="46" t="n"/>
      <c r="P10" s="45" t="inlineStr">
        <is>
          <t>The original run sheet used "Samsung s22 ultra" as the search text.</t>
        </is>
      </c>
      <c r="Q10" s="45" t="inlineStr">
        <is>
          <t>Given that you are at Luma's home page
When you click on the Search Bar that says "Search entire store here"
And you type the exact title of a product that doesn't exist in the store
And click "Enter" or click on the magnifying glass icon to search
Then the site should display an error message "Your search returned no results"</t>
        </is>
      </c>
      <c r="R10" s="45" t="str">
        <f>IF(AND(A10="",B10=""),"",IF(A10="","Missing ID",IF(COUNTIF($A:$A,A10)&gt;1,"Duplicate ID",IF(B10="","Missing title",IF(C10="","Missing module",IF(J10="","Missing steps",IF(K10="","Missing expected result",IF(AND(F10=St_Failed,L10=""),"Add actual result","OK"))))))))</f>
        <v>OK</v>
      </c>
    </row>
    <row r="11" ht="122.75" customHeight="1">
      <c r="A11" s="44" t="inlineStr">
        <is>
          <t>SMP-007</t>
        </is>
      </c>
      <c r="B11" s="45" t="inlineStr">
        <is>
          <t>Search with a very long text</t>
        </is>
      </c>
      <c r="C11" s="45" t="inlineStr">
        <is>
          <t>Product Search</t>
        </is>
      </c>
      <c r="D11" s="45" t="inlineStr">
        <is>
          <t>Boundary</t>
        </is>
      </c>
      <c r="E11" s="44" t="n"/>
      <c r="F11" s="44" t="inlineStr">
        <is>
          <t>Passed</t>
        </is>
      </c>
      <c r="G11" s="44" t="n"/>
      <c r="H11" s="45" t="inlineStr">
        <is>
          <t>User is on the Luma home page.</t>
        </is>
      </c>
      <c r="I11" s="45" t="inlineStr">
        <is>
          <t>Search text: "aaaa aaaaa aaaaaaa aaaaaa aaaaaa" (a very long, made-up product name)</t>
        </is>
      </c>
      <c r="J11" s="45" t="inlineStr">
        <is>
          <t>1. Click the search bar.
2. Type a very long text that matches no product (see Test Data).
3. Run the search.</t>
        </is>
      </c>
      <c r="K11" s="45" t="inlineStr">
        <is>
          <t>No products are shown, the message "Your search returned no results" is displayed, and the "Search results for:" heading fits on the page without breaking the layout.</t>
        </is>
      </c>
      <c r="L11" s="45" t="n"/>
      <c r="M11" s="45" t="n"/>
      <c r="N11" s="45" t="n"/>
      <c r="O11" s="46" t="n"/>
      <c r="P11" s="45" t="n"/>
      <c r="Q11" s="45" t="inlineStr">
        <is>
          <t>When you click on the Search Bar that says "Search entire store here"
And you type something with many characters
And click "Enter" or click on the magnifying glass icon to search
Then the website should display error message "Your search returned no results"
And the "Search Results for:" should fit in the page without breaking its layout</t>
        </is>
      </c>
      <c r="R11" s="45" t="str">
        <f>IF(AND(A11="",B11=""),"",IF(A11="","Missing ID",IF(COUNTIF($A:$A,A11)&gt;1,"Duplicate ID",IF(B11="","Missing title",IF(C11="","Missing module",IF(J11="","Missing steps",IF(K11="","Missing expected result",IF(AND(F11=St_Failed,L11=""),"Add actual result","OK"))))))))</f>
        <v>OK</v>
      </c>
    </row>
    <row r="12" ht="84.5" customHeight="1">
      <c r="A12" s="44" t="inlineStr">
        <is>
          <t>SMP-008</t>
        </is>
      </c>
      <c r="B12" s="45" t="inlineStr">
        <is>
          <t>Search with only spaces</t>
        </is>
      </c>
      <c r="C12" s="45" t="inlineStr">
        <is>
          <t>Product Search</t>
        </is>
      </c>
      <c r="D12" s="45" t="inlineStr">
        <is>
          <t>Negative</t>
        </is>
      </c>
      <c r="E12" s="44" t="n"/>
      <c r="F12" s="44" t="inlineStr">
        <is>
          <t>Passed</t>
        </is>
      </c>
      <c r="G12" s="44" t="n"/>
      <c r="H12" s="45" t="inlineStr">
        <is>
          <t>User is on the Luma home page.</t>
        </is>
      </c>
      <c r="I12" s="45" t="inlineStr">
        <is>
          <t>Search text: blank spaces only</t>
        </is>
      </c>
      <c r="J12" s="45" t="inlineStr">
        <is>
          <t>1. Click the search bar.
2. Type only blank spaces.
3. Press Enter or click the magnifying-glass icon.</t>
        </is>
      </c>
      <c r="K12" s="45" t="inlineStr">
        <is>
          <t>The website does not run a search.</t>
        </is>
      </c>
      <c r="L12" s="45" t="n"/>
      <c r="M12" s="45" t="n"/>
      <c r="N12" s="45" t="n"/>
      <c r="O12" s="46" t="n"/>
      <c r="P12" s="45" t="n"/>
      <c r="Q12" s="45" t="inlineStr">
        <is>
          <t>When you click on the Search Bar that says "Search entire store here"
And you type blank spaces
And click "Enter" or click on the magnifying glass icon to search
Then the website shouldn't search for anything</t>
        </is>
      </c>
      <c r="R12" s="45" t="str">
        <f>IF(AND(A12="",B12=""),"",IF(A12="","Missing ID",IF(COUNTIF($A:$A,A12)&gt;1,"Duplicate ID",IF(B12="","Missing title",IF(C12="","Missing module",IF(J12="","Missing steps",IF(K12="","Missing expected result",IF(AND(F12=St_Failed,L12=""),"Add actual result","OK"))))))))</f>
        <v>OK</v>
      </c>
    </row>
    <row r="13" ht="161" customHeight="1">
      <c r="A13" s="44" t="inlineStr">
        <is>
          <t>SMP-009</t>
        </is>
      </c>
      <c r="B13" s="45" t="inlineStr">
        <is>
          <t>Create an account with valid data</t>
        </is>
      </c>
      <c r="C13" s="45" t="inlineStr">
        <is>
          <t>Account Creation</t>
        </is>
      </c>
      <c r="D13" s="45" t="inlineStr">
        <is>
          <t>Functional</t>
        </is>
      </c>
      <c r="E13" s="44" t="n"/>
      <c r="F13" s="44" t="inlineStr">
        <is>
          <t>Passed</t>
        </is>
      </c>
      <c r="G13" s="44" t="n"/>
      <c r="H13" s="45" t="inlineStr">
        <is>
          <t>User is on the Luma home page.</t>
        </is>
      </c>
      <c r="I13" s="45" t="inlineStr">
        <is>
          <t>First name: Thomas
Last name: Pessoa
Email: tomecosabs@gmaill.com
Password: Passw0rd123</t>
        </is>
      </c>
      <c r="J13" s="45" t="inlineStr">
        <is>
          <t>1. Click "Create an Account".
2. Fill in the required fields (see Test Data).
3. Click "Create an Account".</t>
        </is>
      </c>
      <c r="K13" s="45" t="inlineStr">
        <is>
          <t>The account is created, the user is logged in and is redirected to the "My Account" page, which shows the account information.</t>
        </is>
      </c>
      <c r="L13" s="45" t="n"/>
      <c r="M13" s="45" t="n"/>
      <c r="N13" s="45" t="n"/>
      <c r="O13" s="46" t="n"/>
      <c r="P13" s="45" t="n"/>
      <c r="Q13" s="45" t="inlineStr">
        <is>
          <t>Given that you are at Luma's home page
When you click on "Create an account"
Then you should be redirected to a "Create New Customer Account" page
When you type in your "First name"
And then type in your "Last name"
And fill in your sign in information, such as your "Email"
And fill the "password" fields with matching passwords
And click on "Create an Account"
Then you should be logged in
And be redirected to a "My Account" page where it contains all the info about your account</t>
        </is>
      </c>
      <c r="R13" s="45" t="str">
        <f>IF(AND(A13="",B13=""),"",IF(A13="","Missing ID",IF(COUNTIF($A:$A,A13)&gt;1,"Duplicate ID",IF(B13="","Missing title",IF(C13="","Missing module",IF(J13="","Missing steps",IF(K13="","Missing expected result",IF(AND(F13=St_Failed,L13=""),"Add actual result","OK"))))))))</f>
        <v>OK</v>
      </c>
    </row>
    <row r="14" ht="110" customHeight="1">
      <c r="A14" s="44" t="inlineStr">
        <is>
          <t>SMP-010</t>
        </is>
      </c>
      <c r="B14" s="45" t="inlineStr">
        <is>
          <t>Create an account with an email missing "@"</t>
        </is>
      </c>
      <c r="C14" s="45" t="inlineStr">
        <is>
          <t>Account Creation</t>
        </is>
      </c>
      <c r="D14" s="45" t="inlineStr">
        <is>
          <t>Negative</t>
        </is>
      </c>
      <c r="E14" s="44" t="n"/>
      <c r="F14" s="44" t="inlineStr">
        <is>
          <t>Passed</t>
        </is>
      </c>
      <c r="G14" s="44" t="n"/>
      <c r="H14" s="45" t="inlineStr">
        <is>
          <t>User is on the "Create New Customer Account" page.</t>
        </is>
      </c>
      <c r="I14" s="45" t="inlineStr">
        <is>
          <t>First name: Pedro
Last name: Lennon
Email: "pedropedrolennon"
Password: Linkedin123</t>
        </is>
      </c>
      <c r="J14" s="45" t="inlineStr">
        <is>
          <t>1. Fill in the required fields.
2. In the Email field, type an invalid address without "@" (see Test Data).
3. Click "Create an Account".</t>
        </is>
      </c>
      <c r="K14" s="45" t="inlineStr">
        <is>
          <t>The account is not created and the message "Please enter a valid email address (Ex: johndoe@domain.com)." is displayed.</t>
        </is>
      </c>
      <c r="L14" s="45" t="n"/>
      <c r="M14" s="45" t="n"/>
      <c r="N14" s="45" t="n"/>
      <c r="O14" s="46" t="n"/>
      <c r="P14" s="45" t="inlineStr">
        <is>
          <t>The original run sheet used "abcde" as the invalid email.</t>
        </is>
      </c>
      <c r="Q14" s="45" t="inlineStr">
        <is>
          <t>Given that you are in the "Create New Customer Account" page
When you type in your "First name"
And then type in your "Last name"
And fill in your sign in information with a fake "Email"
And the "password" fields with matching passwords
And click on "Create an Account"
Then site should return an error message that says: "Please enter a valid email address (Ex: johndoe@domain.com)"</t>
        </is>
      </c>
      <c r="R14" s="45" t="str">
        <f>IF(AND(A14="",B14=""),"",IF(A14="","Missing ID",IF(COUNTIF($A:$A,A14)&gt;1,"Duplicate ID",IF(B14="","Missing title",IF(C14="","Missing module",IF(J14="","Missing steps",IF(K14="","Missing expected result",IF(AND(F14=St_Failed,L14=""),"Add actual result","OK"))))))))</f>
        <v>OK</v>
      </c>
    </row>
    <row r="15" ht="110" customHeight="1">
      <c r="A15" s="44" t="inlineStr">
        <is>
          <t>SMP-011</t>
        </is>
      </c>
      <c r="B15" s="45" t="inlineStr">
        <is>
          <t>Create an account with a numbers-only name</t>
        </is>
      </c>
      <c r="C15" s="45" t="inlineStr">
        <is>
          <t>Account Creation</t>
        </is>
      </c>
      <c r="D15" s="45" t="inlineStr">
        <is>
          <t>Negative</t>
        </is>
      </c>
      <c r="E15" s="44" t="n"/>
      <c r="F15" s="44" t="inlineStr">
        <is>
          <t>Failed</t>
        </is>
      </c>
      <c r="G15" s="44" t="n"/>
      <c r="H15" s="45" t="inlineStr">
        <is>
          <t>User is on the "Create New Customer Account" page.</t>
        </is>
      </c>
      <c r="I15" s="45" t="inlineStr">
        <is>
          <t>First name: 12345678
Last name: 87654321
Email: thomasemail@gmail.com
Password: Brazil123</t>
        </is>
      </c>
      <c r="J15" s="45" t="inlineStr">
        <is>
          <t>1. Fill in the required fields.
2. Type only numbers in the First name and Last name fields (see Test Data).
3. Click "Create an Account".</t>
        </is>
      </c>
      <c r="K15" s="45" t="inlineStr">
        <is>
          <t>The account is not created and the website shows an error stating that the name fields cannot contain numbers.</t>
        </is>
      </c>
      <c r="L15" s="45" t="inlineStr">
        <is>
          <t>An account can be created with a name that contains only numbers.</t>
        </is>
      </c>
      <c r="M15" s="45" t="n"/>
      <c r="N15" s="45" t="n"/>
      <c r="O15" s="46" t="n"/>
      <c r="P15" s="45" t="inlineStr">
        <is>
          <t>The original run sheet used "1234" as the name.</t>
        </is>
      </c>
      <c r="Q15" s="45" t="inlineStr">
        <is>
          <t>Given that you are in the "Create New Customer Account" page
When you type in a "First name" that only contains numbers
And type in a "Last name" that only contains numbers
And fill in your sign in information with your "Email"
And the "password" fields with matching passwords
And click on "Create an Account"
Then site should return an error message stating that the name fields cannot contain numbers</t>
        </is>
      </c>
      <c r="R15" s="45" t="str">
        <f>IF(AND(A15="",B15=""),"",IF(A15="","Missing ID",IF(COUNTIF($A:$A,A15)&gt;1,"Duplicate ID",IF(B15="","Missing title",IF(C15="","Missing module",IF(J15="","Missing steps",IF(K15="","Missing expected result",IF(AND(F15=St_Failed,L15=""),"Add actual result","OK"))))))))</f>
        <v>OK</v>
      </c>
    </row>
    <row r="16" ht="135.5" customHeight="1">
      <c r="A16" s="44" t="inlineStr">
        <is>
          <t>SMP-012</t>
        </is>
      </c>
      <c r="B16" s="45" t="inlineStr">
        <is>
          <t>Create an account with non-matching passwords</t>
        </is>
      </c>
      <c r="C16" s="45" t="inlineStr">
        <is>
          <t>Account Creation</t>
        </is>
      </c>
      <c r="D16" s="45" t="inlineStr">
        <is>
          <t>Negative</t>
        </is>
      </c>
      <c r="E16" s="44" t="n"/>
      <c r="F16" s="44" t="inlineStr">
        <is>
          <t>Passed</t>
        </is>
      </c>
      <c r="G16" s="44" t="n"/>
      <c r="H16" s="45" t="inlineStr">
        <is>
          <t>User is on the "Create New Customer Account" page. First name, Last name and Email are already filled in.</t>
        </is>
      </c>
      <c r="I16" s="45" t="inlineStr">
        <is>
          <t>Password: 123321!@##@!
Confirm Password: 87687tp</t>
        </is>
      </c>
      <c r="J16" s="45" t="inlineStr">
        <is>
          <t>1. Fill in the remaining required fields.
2. Type a value in the "Password" field.
3. Type a different value in the "Confirm Password" field.
4. Click "Create an Account".</t>
        </is>
      </c>
      <c r="K16" s="45" t="inlineStr">
        <is>
          <t>The account is not created and the message "Please enter same value again" is displayed.</t>
        </is>
      </c>
      <c r="L16" s="45" t="n"/>
      <c r="M16" s="45" t="n"/>
      <c r="N16" s="45" t="n"/>
      <c r="O16" s="46" t="n"/>
      <c r="P16" s="45" t="n"/>
      <c r="Q16" s="45" t="inlineStr">
        <is>
          <t>Given that you are in the "Create New Customer Account" page
And you have the previous fields filled. First name, Last name &amp; Email
When you fill in the "Password" field with a certain value
And fill in the "Confirm password" with another/different value
And click on "Create an Account"
Then the website shouldn't allow your account to be created and should display a message that says "Please enter same value again"</t>
        </is>
      </c>
      <c r="R16" s="45" t="str">
        <f>IF(AND(A16="",B16=""),"",IF(A16="","Missing ID",IF(COUNTIF($A:$A,A16)&gt;1,"Duplicate ID",IF(B16="","Missing title",IF(C16="","Missing module",IF(J16="","Missing steps",IF(K16="","Missing expected result",IF(AND(F16=St_Failed,L16=""),"Add actual result","OK"))))))))</f>
        <v>OK</v>
      </c>
    </row>
    <row r="17" ht="122.75" customHeight="1">
      <c r="A17" s="44" t="inlineStr">
        <is>
          <t>SMP-013</t>
        </is>
      </c>
      <c r="B17" s="45" t="inlineStr">
        <is>
          <t>Create an account with a required field left empty</t>
        </is>
      </c>
      <c r="C17" s="45" t="inlineStr">
        <is>
          <t>Account Creation</t>
        </is>
      </c>
      <c r="D17" s="45" t="inlineStr">
        <is>
          <t>Negative</t>
        </is>
      </c>
      <c r="E17" s="44" t="n"/>
      <c r="F17" s="44" t="inlineStr">
        <is>
          <t>Passed</t>
        </is>
      </c>
      <c r="G17" s="44" t="n"/>
      <c r="H17" s="45" t="inlineStr">
        <is>
          <t>User is on the "Create New Customer Account" page. Only some fields are filled in (e.g. Last name and Email).</t>
        </is>
      </c>
      <c r="I17" s="45" t="inlineStr"/>
      <c r="J17" s="45" t="inlineStr">
        <is>
          <t>1. Leave one or more required fields (marked with "*") empty.
2. Click "Create an Account".</t>
        </is>
      </c>
      <c r="K17" s="45" t="inlineStr">
        <is>
          <t>The account is not created and "This is a required field." is displayed under each required field left empty.</t>
        </is>
      </c>
      <c r="L17" s="45" t="n"/>
      <c r="M17" s="45" t="n"/>
      <c r="N17" s="45" t="n"/>
      <c r="O17" s="46" t="n"/>
      <c r="P17" s="45" t="n"/>
      <c r="Q17" s="45" t="inlineStr">
        <is>
          <t>Given that you are in the "Create New Customer Account" page
And you have filled only a few fields of your desire. Ex: "Last name" &amp; "Email"
When you don't fill certain fields that contain a "*" besides their name. obs: A.k.a required field
And click on "Create an Account"
Then the website shouldn't let you create your account and should display a message that says "This is a required field." under the required fields that you didn't fill</t>
        </is>
      </c>
      <c r="R17" s="45" t="str">
        <f>IF(AND(A17="",B17=""),"",IF(A17="","Missing ID",IF(COUNTIF($A:$A,A17)&gt;1,"Duplicate ID",IF(B17="","Missing title",IF(C17="","Missing module",IF(J17="","Missing steps",IF(K17="","Missing expected result",IF(AND(F17=St_Failed,L17=""),"Add actual result","OK"))))))))</f>
        <v>OK</v>
      </c>
    </row>
    <row r="18" ht="97.25" customHeight="1">
      <c r="A18" s="44" t="inlineStr">
        <is>
          <t>SMP-014</t>
        </is>
      </c>
      <c r="B18" s="45" t="inlineStr">
        <is>
          <t>Create an account with a weak password</t>
        </is>
      </c>
      <c r="C18" s="45" t="inlineStr">
        <is>
          <t>Account Creation</t>
        </is>
      </c>
      <c r="D18" s="45" t="inlineStr">
        <is>
          <t>Negative</t>
        </is>
      </c>
      <c r="E18" s="44" t="n"/>
      <c r="F18" s="44" t="inlineStr">
        <is>
          <t>Passed</t>
        </is>
      </c>
      <c r="G18" s="44" t="n"/>
      <c r="H18" s="45" t="inlineStr">
        <is>
          <t>User is on the "Create New Customer Account" page. First name, Last name and Email are already filled in.</t>
        </is>
      </c>
      <c r="I18" s="45" t="inlineStr">
        <is>
          <t>Password: "abcdefghijklmnop"</t>
        </is>
      </c>
      <c r="J18" s="45" t="inlineStr">
        <is>
          <t>1. Fill in the remaining required fields.
2. Type a weak password in the "Password" field (see Test Data).
3. Click "Create an Account".</t>
        </is>
      </c>
      <c r="K18" s="45" t="inlineStr">
        <is>
          <t>The password strength indicator shows "Weak" while typing, and the account is not created until a stronger password is used.</t>
        </is>
      </c>
      <c r="L18" s="45" t="n"/>
      <c r="M18" s="45" t="n"/>
      <c r="N18" s="45" t="n"/>
      <c r="O18" s="46" t="n"/>
      <c r="P18" s="45" t="inlineStr">
        <is>
          <t>The original run sheet used "123" as the weak password.</t>
        </is>
      </c>
      <c r="Q18" s="45" t="inlineStr">
        <is>
          <t>Given that you are in the "Create New Customer Account" page
And you have the previous fields filled. First name, Last name &amp; Email
When you fill in the "Password" field with a weak password
Then the website should display "Password strength: Weak" and it shouldn't allow you create your account until you make a strong password</t>
        </is>
      </c>
      <c r="R18" s="45" t="str">
        <f>IF(AND(A18="",B18=""),"",IF(A18="","Missing ID",IF(COUNTIF($A:$A,A18)&gt;1,"Duplicate ID",IF(B18="","Missing title",IF(C18="","Missing module",IF(J18="","Missing steps",IF(K18="","Missing expected result",IF(AND(F18=St_Failed,L18=""),"Add actual result","OK"))))))))</f>
        <v>OK</v>
      </c>
    </row>
    <row r="19" ht="122.75" customHeight="1">
      <c r="A19" s="44" t="inlineStr">
        <is>
          <t>SMP-015</t>
        </is>
      </c>
      <c r="B19" s="45" t="inlineStr">
        <is>
          <t>Create an account with a password shorter than 8 characters</t>
        </is>
      </c>
      <c r="C19" s="45" t="inlineStr">
        <is>
          <t>Account Creation</t>
        </is>
      </c>
      <c r="D19" s="45" t="inlineStr">
        <is>
          <t>Boundary</t>
        </is>
      </c>
      <c r="E19" s="44" t="n"/>
      <c r="F19" s="44" t="inlineStr">
        <is>
          <t>Passed</t>
        </is>
      </c>
      <c r="G19" s="44" t="n"/>
      <c r="H19" s="45" t="inlineStr">
        <is>
          <t>User is on the "Create New Customer Account" page. First name, Last name and Email are already filled in.</t>
        </is>
      </c>
      <c r="I19" s="45" t="inlineStr">
        <is>
          <t>Password: "abc"</t>
        </is>
      </c>
      <c r="J19" s="45" t="inlineStr">
        <is>
          <t>1. Fill in the remaining required fields.
2. Type a password with fewer than 8 characters in the "Password" field (see Test Data).
3. Click "Create an Account".</t>
        </is>
      </c>
      <c r="K19" s="45" t="inlineStr">
        <is>
          <t>The account is not created and the message "Minimum length of this field must be equal or greater than 8 symbols. Leading and trailing spaces will be ignored." is displayed.</t>
        </is>
      </c>
      <c r="L19" s="45" t="n"/>
      <c r="M19" s="45" t="n"/>
      <c r="N19" s="45" t="n"/>
      <c r="O19" s="46" t="n"/>
      <c r="P19" s="45" t="inlineStr">
        <is>
          <t>The original run sheet used "000" as the password.</t>
        </is>
      </c>
      <c r="Q19" s="45" t="inlineStr">
        <is>
          <t>Given that you are in the "Create New Customer Account" page
And you have the previous fields filled. First name, Last name &amp; Email
When you fill in the "Password" field with a password that contains less than 8 characters
Then the website shouldn't allow you to create account
And should display the following error message: "Minimum length of this field must be equal or greater than 8 symbols. Leading and trailing spaces will be ignored."</t>
        </is>
      </c>
      <c r="R19" s="45" t="str">
        <f>IF(AND(A19="",B19=""),"",IF(A19="","Missing ID",IF(COUNTIF($A:$A,A19)&gt;1,"Duplicate ID",IF(B19="","Missing title",IF(C19="","Missing module",IF(J19="","Missing steps",IF(K19="","Missing expected result",IF(AND(F19=St_Failed,L19=""),"Add actual result","OK"))))))))</f>
        <v>OK</v>
      </c>
    </row>
    <row r="20" ht="84.5" customHeight="1">
      <c r="A20" s="44" t="inlineStr">
        <is>
          <t>SMP-016</t>
        </is>
      </c>
      <c r="B20" s="45" t="inlineStr">
        <is>
          <t>Add one item to the cart</t>
        </is>
      </c>
      <c r="C20" s="45" t="inlineStr">
        <is>
          <t>Add to Cart</t>
        </is>
      </c>
      <c r="D20" s="45" t="inlineStr">
        <is>
          <t>Functional</t>
        </is>
      </c>
      <c r="E20" s="44" t="n"/>
      <c r="F20" s="44" t="inlineStr">
        <is>
          <t>Failed</t>
        </is>
      </c>
      <c r="G20" s="44" t="n"/>
      <c r="H20" s="45" t="inlineStr">
        <is>
          <t>User is on the Luma home page.</t>
        </is>
      </c>
      <c r="I20" s="45" t="inlineStr">
        <is>
          <t>Product: "Gobi HeatTec® Tee"
Color: Orange
Size: XL
Quantity: 1</t>
        </is>
      </c>
      <c r="J20" s="45" t="inlineStr">
        <is>
          <t>1. Find the desired product and open it.
2. Select the size, color and quantity.
3. Click "Add to Cart".</t>
        </is>
      </c>
      <c r="K20" s="45" t="inlineStr">
        <is>
          <t>The item is added to the cart with the selected size, color and quantity.</t>
        </is>
      </c>
      <c r="L20" s="45" t="inlineStr">
        <is>
          <t>Item details and price are correct, but the image of the product color is incorrect, which can confuse the customer.</t>
        </is>
      </c>
      <c r="M20" s="45" t="n"/>
      <c r="N20" s="45" t="n"/>
      <c r="O20" s="46" t="n"/>
      <c r="P20" s="45" t="n"/>
      <c r="Q20" s="45" t="inlineStr">
        <is>
          <t>Given that you are at Luma's home page
When you hover over an item you like
Then you should be directed to the item's page
When you select the desired Size &amp; Color
And click "Add to cart"
Then item with desired Size and Color should be added to cart</t>
        </is>
      </c>
      <c r="R20" s="45" t="str">
        <f>IF(AND(A20="",B20=""),"",IF(A20="","Missing ID",IF(COUNTIF($A:$A,A20)&gt;1,"Duplicate ID",IF(B20="","Missing title",IF(C20="","Missing module",IF(J20="","Missing steps",IF(K20="","Missing expected result",IF(AND(F20=St_Failed,L20=""),"Add actual result","OK"))))))))</f>
        <v>OK</v>
      </c>
    </row>
    <row r="21" ht="122.75" customHeight="1">
      <c r="A21" s="44" t="inlineStr">
        <is>
          <t>SMP-017</t>
        </is>
      </c>
      <c r="B21" s="45" t="inlineStr">
        <is>
          <t>Add different items to the cart</t>
        </is>
      </c>
      <c r="C21" s="45" t="inlineStr">
        <is>
          <t>Add to Cart</t>
        </is>
      </c>
      <c r="D21" s="45" t="inlineStr">
        <is>
          <t>Functional</t>
        </is>
      </c>
      <c r="E21" s="44" t="n"/>
      <c r="F21" s="44" t="inlineStr">
        <is>
          <t>Passed</t>
        </is>
      </c>
      <c r="G21" s="44" t="n"/>
      <c r="H21" s="45" t="inlineStr">
        <is>
          <t>User is on the Luma home page or a category page (e.g. Jackets).</t>
        </is>
      </c>
      <c r="I21" s="45" t="inlineStr">
        <is>
          <t>Color: Blue
Size: M
Quantity: 2 (per item)</t>
        </is>
      </c>
      <c r="J21" s="45" t="inlineStr">
        <is>
          <t>1. Open an item.
2. Select the size, color and quantity.
3. Click "Add to Cart".
4. Repeat with another item.</t>
        </is>
      </c>
      <c r="K21" s="45" t="inlineStr">
        <is>
          <t>All selected items are in the cart with their chosen size, color and quantity.</t>
        </is>
      </c>
      <c r="L21" s="45" t="n"/>
      <c r="M21" s="45" t="n"/>
      <c r="N21" s="45" t="n"/>
      <c r="O21" s="46" t="n"/>
      <c r="P21" s="45" t="n"/>
      <c r="Q21" s="45" t="inlineStr">
        <is>
          <t>Given that you are at Luma's home page or at a category's page. Ex: "Jackets"
When you click on an item you like
When you select the desired Size &amp; Color
And fill in the desired Quantity that you want of the product
And click on "Add to cart"
And repeat this process to another item
Then both of the selected items in their desired Color, Size and quantity should be in your cart</t>
        </is>
      </c>
      <c r="R21" s="45" t="str">
        <f>IF(AND(A21="",B21=""),"",IF(A21="","Missing ID",IF(COUNTIF($A:$A,A21)&gt;1,"Duplicate ID",IF(B21="","Missing title",IF(C21="","Missing module",IF(J21="","Missing steps",IF(K21="","Missing expected result",IF(AND(F21=St_Failed,L21=""),"Add actual result","OK"))))))))</f>
        <v>OK</v>
      </c>
    </row>
    <row r="22" ht="110" customHeight="1">
      <c r="A22" s="44" t="inlineStr">
        <is>
          <t>SMP-018</t>
        </is>
      </c>
      <c r="B22" s="45" t="inlineStr">
        <is>
          <t>Add 1000+ units of the same item</t>
        </is>
      </c>
      <c r="C22" s="45" t="inlineStr">
        <is>
          <t>Add to Cart</t>
        </is>
      </c>
      <c r="D22" s="45" t="inlineStr">
        <is>
          <t>Boundary</t>
        </is>
      </c>
      <c r="E22" s="44" t="n"/>
      <c r="F22" s="44" t="inlineStr">
        <is>
          <t>Passed</t>
        </is>
      </c>
      <c r="G22" s="44" t="n"/>
      <c r="H22" s="45" t="inlineStr">
        <is>
          <t>User is on the Luma home page or a category page (e.g. Tops).</t>
        </is>
      </c>
      <c r="I22" s="45" t="inlineStr">
        <is>
          <t>Color: Green
Size: S
Quantity: 1001</t>
        </is>
      </c>
      <c r="J22" s="45" t="inlineStr">
        <is>
          <t>1. Open an item.
2. Select the size and color.
3. Enter a quantity above 1000 (see Test Data).
4. Click "Add to Cart".</t>
        </is>
      </c>
      <c r="K22" s="45" t="inlineStr">
        <is>
          <t>The item is added to the cart with the large quantity and the correct size and color.</t>
        </is>
      </c>
      <c r="L22" s="45" t="n"/>
      <c r="M22" s="45" t="n"/>
      <c r="N22" s="45" t="n"/>
      <c r="O22" s="46" t="n"/>
      <c r="P22" s="45" t="inlineStr">
        <is>
          <t>The original test-case sheet listed 12345; the original run used 1001. The site's maximum quantity is 10000 (see SMP-028).</t>
        </is>
      </c>
      <c r="Q22" s="45" t="inlineStr">
        <is>
          <t>Given that you are at Luma's home page or at a category's page. Ex: "Tops"
When you click on an item you like
When you select the desired Size &amp; Color
And fill in the Quantity with a large number
And click "Add to cart"
Then item with large quantity should be added to cart, with its correct S&amp;C</t>
        </is>
      </c>
      <c r="R22" s="45" t="str">
        <f>IF(AND(A22="",B22=""),"",IF(A22="","Missing ID",IF(COUNTIF($A:$A,A22)&gt;1,"Duplicate ID",IF(B22="","Missing title",IF(C22="","Missing module",IF(J22="","Missing steps",IF(K22="","Missing expected result",IF(AND(F22=St_Failed,L22=""),"Add actual result","OK"))))))))</f>
        <v>OK</v>
      </c>
    </row>
    <row r="23" ht="122.75" customHeight="1">
      <c r="A23" s="44" t="inlineStr">
        <is>
          <t>SMP-019</t>
        </is>
      </c>
      <c r="B23" s="45" t="inlineStr">
        <is>
          <t>Add a large number of different items to the cart</t>
        </is>
      </c>
      <c r="C23" s="45" t="inlineStr">
        <is>
          <t>Add to Cart</t>
        </is>
      </c>
      <c r="D23" s="45" t="inlineStr">
        <is>
          <t>Boundary</t>
        </is>
      </c>
      <c r="E23" s="44" t="n"/>
      <c r="F23" s="44" t="inlineStr">
        <is>
          <t>Passed</t>
        </is>
      </c>
      <c r="G23" s="44" t="n"/>
      <c r="H23" s="45" t="inlineStr">
        <is>
          <t>User is on the Luma home page or a category page (e.g. Tees).</t>
        </is>
      </c>
      <c r="I23" s="45" t="inlineStr">
        <is>
          <t>Color: Red
Size: S
Quantity: 3 (per item)
Items: 50+ different items</t>
        </is>
      </c>
      <c r="J23" s="45" t="inlineStr">
        <is>
          <t>1. Open an item.
2. Select the size, color and quantity.
3. Click "Add to Cart".
4. Repeat with 50+ other items.</t>
        </is>
      </c>
      <c r="K23" s="45" t="inlineStr">
        <is>
          <t>All items appear in the cart with their chosen size, color and quantity.</t>
        </is>
      </c>
      <c r="L23" s="45" t="n"/>
      <c r="M23" s="45" t="n"/>
      <c r="N23" s="45" t="n"/>
      <c r="O23" s="46" t="n"/>
      <c r="P23" s="45" t="n"/>
      <c r="Q23" s="45" t="inlineStr">
        <is>
          <t>Given that you are at Luma's home page or at a category's page. Ex: "Tees"
When you click on an item you like
When you select the desired Size &amp; Color
And fill in the desired Quantity that you want of the product
And click "Add to cart"
And repeat this process to a lot of other items
Then all items should appear in the cart with their correct Size and Color</t>
        </is>
      </c>
      <c r="R23" s="45" t="str">
        <f>IF(AND(A23="",B23=""),"",IF(A23="","Missing ID",IF(COUNTIF($A:$A,A23)&gt;1,"Duplicate ID",IF(B23="","Missing title",IF(C23="","Missing module",IF(J23="","Missing steps",IF(K23="","Missing expected result",IF(AND(F23=St_Failed,L23=""),"Add actual result","OK"))))))))</f>
        <v>OK</v>
      </c>
    </row>
    <row r="24" ht="97.25" customHeight="1">
      <c r="A24" s="44" t="inlineStr">
        <is>
          <t>SMP-020</t>
        </is>
      </c>
      <c r="B24" s="45" t="inlineStr">
        <is>
          <t>View item details in the mini cart</t>
        </is>
      </c>
      <c r="C24" s="45" t="inlineStr">
        <is>
          <t>Add to Cart</t>
        </is>
      </c>
      <c r="D24" s="45" t="inlineStr">
        <is>
          <t>Functional</t>
        </is>
      </c>
      <c r="E24" s="44" t="n"/>
      <c r="F24" s="44" t="inlineStr">
        <is>
          <t>Passed</t>
        </is>
      </c>
      <c r="G24" s="44" t="n"/>
      <c r="H24" s="45" t="inlineStr">
        <is>
          <t>At least one item is in the cart. User is on the Luma home page.</t>
        </is>
      </c>
      <c r="I24" s="45" t="inlineStr"/>
      <c r="J24" s="45" t="inlineStr">
        <is>
          <t>1. Click the cart icon next to the search bar.
2. Click "See Details" next to an item.</t>
        </is>
      </c>
      <c r="K24" s="45" t="inlineStr">
        <is>
          <t>A pop-up with the items in the cart appears, and the item details (size and color) are displayed.</t>
        </is>
      </c>
      <c r="L24" s="45" t="n"/>
      <c r="M24" s="45" t="n"/>
      <c r="N24" s="45" t="n"/>
      <c r="O24" s="46" t="n"/>
      <c r="P24" s="45" t="n"/>
      <c r="Q24" s="45" t="inlineStr">
        <is>
          <t>Given that you have an item added to your cart
And you are in the website's home page
When you click on the Cart icon next to the search bar
Then a pop up menu of the items in your cart should show
When you click on "See details" of the desired item
Then the details of that item should be displayed. Size &amp; Color</t>
        </is>
      </c>
      <c r="R24" s="45" t="str">
        <f>IF(AND(A24="",B24=""),"",IF(A24="","Missing ID",IF(COUNTIF($A:$A,A24)&gt;1,"Duplicate ID",IF(B24="","Missing title",IF(C24="","Missing module",IF(J24="","Missing steps",IF(K24="","Missing expected result",IF(AND(F24=St_Failed,L24=""),"Add actual result","OK"))))))))</f>
        <v>OK</v>
      </c>
    </row>
    <row r="25" ht="110" customHeight="1">
      <c r="A25" s="44" t="inlineStr">
        <is>
          <t>SMP-021</t>
        </is>
      </c>
      <c r="B25" s="45" t="inlineStr">
        <is>
          <t>Edit item quantity in the mini cart</t>
        </is>
      </c>
      <c r="C25" s="45" t="inlineStr">
        <is>
          <t>Add to Cart</t>
        </is>
      </c>
      <c r="D25" s="45" t="inlineStr">
        <is>
          <t>Functional</t>
        </is>
      </c>
      <c r="E25" s="44" t="n"/>
      <c r="F25" s="44" t="inlineStr">
        <is>
          <t>Passed</t>
        </is>
      </c>
      <c r="G25" s="44" t="n"/>
      <c r="H25" s="45" t="inlineStr">
        <is>
          <t>One or more items are in the cart and the mini cart is open.</t>
        </is>
      </c>
      <c r="I25" s="45" t="inlineStr">
        <is>
          <t>Quantity change: from 20 to 9</t>
        </is>
      </c>
      <c r="J25" s="45" t="inlineStr">
        <is>
          <t>1. Click the quantity of the item to change.
2. Change the quantity.
3. Click "Update".</t>
        </is>
      </c>
      <c r="K25" s="45" t="inlineStr">
        <is>
          <t>The "Update" button appears after the quantity is changed, and the quantity and price of the item are updated.</t>
        </is>
      </c>
      <c r="L25" s="45" t="n"/>
      <c r="M25" s="45" t="n"/>
      <c r="N25" s="45" t="n"/>
      <c r="O25" s="46" t="n"/>
      <c r="P25" s="45" t="n"/>
      <c r="Q25" s="45" t="inlineStr">
        <is>
          <t>Given that you have 1 or more items in your cart
And you have the pop-up cart open
When you click on the quantity of the item you want to alter
And change the quantity
Then "Update" button should appear
When you click on "Update"
Then quantity and PRICE of that certain item should be updated</t>
        </is>
      </c>
      <c r="R25" s="45" t="str">
        <f>IF(AND(A25="",B25=""),"",IF(A25="","Missing ID",IF(COUNTIF($A:$A,A25)&gt;1,"Duplicate ID",IF(B25="","Missing title",IF(C25="","Missing module",IF(J25="","Missing steps",IF(K25="","Missing expected result",IF(AND(F25=St_Failed,L25=""),"Add actual result","OK"))))))))</f>
        <v>OK</v>
      </c>
    </row>
    <row r="26" ht="122.75" customHeight="1">
      <c r="A26" s="44" t="inlineStr">
        <is>
          <t>SMP-022</t>
        </is>
      </c>
      <c r="B26" s="45" t="inlineStr">
        <is>
          <t>Edit an item from the mini cart</t>
        </is>
      </c>
      <c r="C26" s="45" t="inlineStr">
        <is>
          <t>Add to Cart</t>
        </is>
      </c>
      <c r="D26" s="45" t="inlineStr">
        <is>
          <t>Functional</t>
        </is>
      </c>
      <c r="E26" s="44" t="n"/>
      <c r="F26" s="44" t="inlineStr">
        <is>
          <t>Passed</t>
        </is>
      </c>
      <c r="G26" s="44" t="n"/>
      <c r="H26" s="45" t="inlineStr">
        <is>
          <t>One or more items are in the cart and the mini cart is open.</t>
        </is>
      </c>
      <c r="I26" s="45" t="inlineStr"/>
      <c r="J26" s="45" t="inlineStr">
        <is>
          <t>1. Click the pencil icon next to the item to edit.
2. On the product page, change the size and/or color.
3. Click "Update Cart".</t>
        </is>
      </c>
      <c r="K26" s="45" t="inlineStr">
        <is>
          <t>The user is taken to the item's page to edit it, and the cart shows the updated details.</t>
        </is>
      </c>
      <c r="L26" s="45" t="n"/>
      <c r="M26" s="45" t="n"/>
      <c r="N26" s="45" t="n"/>
      <c r="O26" s="46" t="n"/>
      <c r="P26" s="45" t="n"/>
      <c r="Q26" s="45" t="inlineStr">
        <is>
          <t>Given that you have 1 or more items in your cart
And you have the pop-up cart open
When you click on the Pencil icon next to the item you want to edit
Then you should be redirected to the page of the desired item where you can alter and update its information
When you are done altering its Colors or Size
And click in "Update Cart"
Then item should be updated in your cart</t>
        </is>
      </c>
      <c r="R26" s="45" t="str">
        <f>IF(AND(A26="",B26=""),"",IF(A26="","Missing ID",IF(COUNTIF($A:$A,A26)&gt;1,"Duplicate ID",IF(B26="","Missing title",IF(C26="","Missing module",IF(J26="","Missing steps",IF(K26="","Missing expected result",IF(AND(F26=St_Failed,L26=""),"Add actual result","OK"))))))))</f>
        <v>OK</v>
      </c>
    </row>
    <row r="27" ht="71.75" customHeight="1">
      <c r="A27" s="44" t="inlineStr">
        <is>
          <t>SMP-023</t>
        </is>
      </c>
      <c r="B27" s="45" t="inlineStr">
        <is>
          <t>View all items on the cart page</t>
        </is>
      </c>
      <c r="C27" s="45" t="inlineStr">
        <is>
          <t>Add to Cart</t>
        </is>
      </c>
      <c r="D27" s="45" t="inlineStr">
        <is>
          <t>Functional</t>
        </is>
      </c>
      <c r="E27" s="44" t="n"/>
      <c r="F27" s="44" t="inlineStr">
        <is>
          <t>Passed</t>
        </is>
      </c>
      <c r="G27" s="44" t="n"/>
      <c r="H27" s="45" t="inlineStr">
        <is>
          <t>Items are in the cart.</t>
        </is>
      </c>
      <c r="I27" s="45" t="inlineStr"/>
      <c r="J27" s="45" t="inlineStr">
        <is>
          <t>1. Click the cart icon.
2. Click "View and Edit Cart".</t>
        </is>
      </c>
      <c r="K27" s="45" t="inlineStr">
        <is>
          <t>The Shopping Cart page opens, where all items can be viewed, edited and deleted.</t>
        </is>
      </c>
      <c r="L27" s="45" t="n"/>
      <c r="M27" s="45" t="n"/>
      <c r="N27" s="45" t="n"/>
      <c r="O27" s="46" t="n"/>
      <c r="P27" s="45" t="n"/>
      <c r="Q27" s="45" t="inlineStr">
        <is>
          <t>Given that you have items added in your cart
And you clicked in the cart icon
And clicked on "View and edit cart"
Then you should be redirected to your cart page. Where you can view, edit &amp; delete all the items added to your cart</t>
        </is>
      </c>
      <c r="R27" s="45" t="str">
        <f>IF(AND(A27="",B27=""),"",IF(A27="","Missing ID",IF(COUNTIF($A:$A,A27)&gt;1,"Duplicate ID",IF(B27="","Missing title",IF(C27="","Missing module",IF(J27="","Missing steps",IF(K27="","Missing expected result",IF(AND(F27=St_Failed,L27=""),"Add actual result","OK"))))))))</f>
        <v>OK</v>
      </c>
    </row>
    <row r="28" ht="71.75" customHeight="1">
      <c r="A28" s="44" t="inlineStr">
        <is>
          <t>SMP-024</t>
        </is>
      </c>
      <c r="B28" s="45" t="inlineStr">
        <is>
          <t>Empty cart message on the Shopping Cart page</t>
        </is>
      </c>
      <c r="C28" s="45" t="inlineStr">
        <is>
          <t>Add to Cart</t>
        </is>
      </c>
      <c r="D28" s="45" t="inlineStr">
        <is>
          <t>Functional</t>
        </is>
      </c>
      <c r="E28" s="44" t="n"/>
      <c r="F28" s="44" t="inlineStr">
        <is>
          <t>Passed</t>
        </is>
      </c>
      <c r="G28" s="44" t="n"/>
      <c r="H28" s="45" t="inlineStr">
        <is>
          <t>Items are in the cart and the user is on the "Shopping Cart" page.</t>
        </is>
      </c>
      <c r="I28" s="45" t="inlineStr"/>
      <c r="J28" s="45" t="inlineStr">
        <is>
          <t>1. Delete all items from the cart.</t>
        </is>
      </c>
      <c r="K28" s="45" t="inlineStr">
        <is>
          <t>The message "You have no items in your shopping cart." is displayed and the page suggests continuing to shop.</t>
        </is>
      </c>
      <c r="L28" s="45" t="n"/>
      <c r="M28" s="45" t="n"/>
      <c r="N28" s="45" t="n"/>
      <c r="O28" s="46" t="n"/>
      <c r="P28" s="45" t="n"/>
      <c r="Q28" s="45" t="inlineStr">
        <is>
          <t>Given that you are in the "Shopping Cart" page
And you have items added to your cart
When you delete the selected items
Then the shopping cart page should show a message that says: "You have no items in your shopping cart."</t>
        </is>
      </c>
      <c r="R28" s="45" t="str">
        <f>IF(AND(A28="",B28=""),"",IF(A28="","Missing ID",IF(COUNTIF($A:$A,A28)&gt;1,"Duplicate ID",IF(B28="","Missing title",IF(C28="","Missing module",IF(J28="","Missing steps",IF(K28="","Missing expected result",IF(AND(F28=St_Failed,L28=""),"Add actual result","OK"))))))))</f>
        <v>OK</v>
      </c>
    </row>
    <row r="29" ht="59" customHeight="1">
      <c r="A29" s="44" t="inlineStr">
        <is>
          <t>SMP-025</t>
        </is>
      </c>
      <c r="B29" s="45" t="inlineStr">
        <is>
          <t>Empty cart message in the mini cart</t>
        </is>
      </c>
      <c r="C29" s="45" t="inlineStr">
        <is>
          <t>Add to Cart</t>
        </is>
      </c>
      <c r="D29" s="45" t="inlineStr">
        <is>
          <t>Functional</t>
        </is>
      </c>
      <c r="E29" s="44" t="n"/>
      <c r="F29" s="44" t="inlineStr">
        <is>
          <t>Passed</t>
        </is>
      </c>
      <c r="G29" s="44" t="n"/>
      <c r="H29" s="45" t="inlineStr">
        <is>
          <t>No items are in the cart.</t>
        </is>
      </c>
      <c r="I29" s="45" t="inlineStr"/>
      <c r="J29" s="45" t="inlineStr">
        <is>
          <t>1. Click the cart icon.</t>
        </is>
      </c>
      <c r="K29" s="45" t="inlineStr">
        <is>
          <t>The mini cart is empty and shows "You have no items in your shopping cart."</t>
        </is>
      </c>
      <c r="L29" s="45" t="n"/>
      <c r="M29" s="45" t="n"/>
      <c r="N29" s="45" t="n"/>
      <c r="O29" s="46" t="n"/>
      <c r="P29" s="45" t="n"/>
      <c r="Q29" s="45" t="inlineStr">
        <is>
          <t>Given that you have no items added to your cart
When you click on the Cart icon
Then it should display a message saying: "You have no items in your shopping cart."</t>
        </is>
      </c>
      <c r="R29" s="45" t="str">
        <f>IF(AND(A29="",B29=""),"",IF(A29="","Missing ID",IF(COUNTIF($A:$A,A29)&gt;1,"Duplicate ID",IF(B29="","Missing title",IF(C29="","Missing module",IF(J29="","Missing steps",IF(K29="","Missing expected result",IF(AND(F29=St_Failed,L29=""),"Add actual result","OK"))))))))</f>
        <v>OK</v>
      </c>
    </row>
    <row r="30" ht="71.75" customHeight="1">
      <c r="A30" s="44" t="inlineStr">
        <is>
          <t>SMP-026</t>
        </is>
      </c>
      <c r="B30" s="45" t="inlineStr">
        <is>
          <t>Proceed to checkout from the cart</t>
        </is>
      </c>
      <c r="C30" s="45" t="inlineStr">
        <is>
          <t>Add to Cart</t>
        </is>
      </c>
      <c r="D30" s="45" t="inlineStr">
        <is>
          <t>Functional</t>
        </is>
      </c>
      <c r="E30" s="44" t="n"/>
      <c r="F30" s="44" t="inlineStr">
        <is>
          <t>Passed</t>
        </is>
      </c>
      <c r="G30" s="44" t="n"/>
      <c r="H30" s="45" t="inlineStr">
        <is>
          <t>One or more items are in the cart.</t>
        </is>
      </c>
      <c r="I30" s="45" t="inlineStr"/>
      <c r="J30" s="45" t="inlineStr">
        <is>
          <t>1. Open the cart (mini cart or Shopping Cart page).
2. Click "Proceed to Checkout".</t>
        </is>
      </c>
      <c r="K30" s="45" t="inlineStr">
        <is>
          <t>The "Proceed to Checkout" button is visible and the user is redirected to the Shipping page.</t>
        </is>
      </c>
      <c r="L30" s="45" t="n"/>
      <c r="M30" s="45" t="n"/>
      <c r="N30" s="45" t="n"/>
      <c r="O30" s="46" t="n"/>
      <c r="P30" s="45" t="inlineStr">
        <is>
          <t>The original test-case sheet used the Shopping Cart page; the original run sheet used the mini cart.</t>
        </is>
      </c>
      <c r="Q30" s="45" t="inlineStr">
        <is>
          <t>Given that you have added one or more items to your cart
And you are in the Shopping cart page
Then a "Proceed to checkout" button should be visible
When clicked
Then you should be redirected to the checkout page</t>
        </is>
      </c>
      <c r="R30" s="45" t="str">
        <f>IF(AND(A30="",B30=""),"",IF(A30="","Missing ID",IF(COUNTIF($A:$A,A30)&gt;1,"Duplicate ID",IF(B30="","Missing title",IF(C30="","Missing module",IF(J30="","Missing steps",IF(K30="","Missing expected result",IF(AND(F30=St_Failed,L30=""),"Add actual result","OK"))))))))</f>
        <v>OK</v>
      </c>
    </row>
    <row r="31" ht="84.5" customHeight="1">
      <c r="A31" s="44" t="inlineStr">
        <is>
          <t>SMP-027</t>
        </is>
      </c>
      <c r="B31" s="45" t="inlineStr">
        <is>
          <t>Add an item without selecting size and color</t>
        </is>
      </c>
      <c r="C31" s="45" t="inlineStr">
        <is>
          <t>Add to Cart</t>
        </is>
      </c>
      <c r="D31" s="45" t="inlineStr">
        <is>
          <t>Negative</t>
        </is>
      </c>
      <c r="E31" s="44" t="n"/>
      <c r="F31" s="44" t="inlineStr">
        <is>
          <t>Passed</t>
        </is>
      </c>
      <c r="G31" s="44" t="n"/>
      <c r="H31" s="45" t="inlineStr">
        <is>
          <t>User is viewing an item to add to the cart.</t>
        </is>
      </c>
      <c r="I31" s="45" t="inlineStr"/>
      <c r="J31" s="45" t="inlineStr">
        <is>
          <t>1. Do not select a size or a color.
2. Click "Add to Cart".</t>
        </is>
      </c>
      <c r="K31" s="45" t="inlineStr">
        <is>
          <t>The item is not added and the website informs the user that size and color are required.</t>
        </is>
      </c>
      <c r="L31" s="45" t="n"/>
      <c r="M31" s="45" t="n"/>
      <c r="N31" s="45" t="n"/>
      <c r="O31" s="46" t="n"/>
      <c r="P31" s="45" t="n"/>
      <c r="Q31" s="45" t="inlineStr">
        <is>
          <t>Given that you are viewing an item you want to add to your cart
When you click on "Add to your cart" without choosing a size or color
Then the website should inform you that those fields are required</t>
        </is>
      </c>
      <c r="R31" s="45" t="str">
        <f>IF(AND(A31="",B31=""),"",IF(A31="","Missing ID",IF(COUNTIF($A:$A,A31)&gt;1,"Duplicate ID",IF(B31="","Missing title",IF(C31="","Missing module",IF(J31="","Missing steps",IF(K31="","Missing expected result",IF(AND(F31=St_Failed,L31=""),"Add actual result","OK"))))))))</f>
        <v>OK</v>
      </c>
    </row>
    <row r="32" ht="110" customHeight="1">
      <c r="A32" s="44" t="inlineStr">
        <is>
          <t>SMP-028</t>
        </is>
      </c>
      <c r="B32" s="45" t="inlineStr">
        <is>
          <t>Add an absurd quantity of the same item</t>
        </is>
      </c>
      <c r="C32" s="45" t="inlineStr">
        <is>
          <t>Add to Cart</t>
        </is>
      </c>
      <c r="D32" s="45" t="inlineStr">
        <is>
          <t>Boundary</t>
        </is>
      </c>
      <c r="E32" s="44" t="n"/>
      <c r="F32" s="44" t="inlineStr">
        <is>
          <t>Passed</t>
        </is>
      </c>
      <c r="G32" s="44" t="n"/>
      <c r="H32" s="45" t="inlineStr">
        <is>
          <t>User is on the Luma home page or a category page (e.g. Bags).</t>
        </is>
      </c>
      <c r="I32" s="45" t="inlineStr">
        <is>
          <t>Color: Pink
Size: W
Quantity: 9999999999999999999</t>
        </is>
      </c>
      <c r="J32" s="45" t="inlineStr">
        <is>
          <t>1. Open an item.
2. Select the size and color.
3. Enter a huge quantity (10000+; see Test Data).
4. Click "Add to Cart".</t>
        </is>
      </c>
      <c r="K32" s="45" t="inlineStr">
        <is>
          <t>The item is not added and the message "The maximum you may purchase is 10000." is displayed.</t>
        </is>
      </c>
      <c r="L32" s="45" t="n"/>
      <c r="M32" s="45" t="n"/>
      <c r="N32" s="45" t="n"/>
      <c r="O32" s="46" t="n"/>
      <c r="P32" s="45" t="n"/>
      <c r="Q32" s="45" t="inlineStr">
        <is>
          <t>Given that you are at Luma's home page or at a category's page. Ex: "Bags"
When you hover over an item you like
And you select the desired Size &amp; Color
And fill in a crazy amount of the product that you want
And click on "Add to cart"
Then the website should display an error message that says: "The maximum you may purchase is 10000."</t>
        </is>
      </c>
      <c r="R32" s="45" t="str">
        <f>IF(AND(A32="",B32=""),"",IF(A32="","Missing ID",IF(COUNTIF($A:$A,A32)&gt;1,"Duplicate ID",IF(B32="","Missing title",IF(C32="","Missing module",IF(J32="","Missing steps",IF(K32="","Missing expected result",IF(AND(F32=St_Failed,L32=""),"Add actual result","OK"))))))))</f>
        <v>OK</v>
      </c>
    </row>
    <row r="33" ht="122.75" customHeight="1">
      <c r="A33" s="44" t="inlineStr">
        <is>
          <t>SMP-029</t>
        </is>
      </c>
      <c r="B33" s="45" t="inlineStr">
        <is>
          <t>Add a negative quantity</t>
        </is>
      </c>
      <c r="C33" s="45" t="inlineStr">
        <is>
          <t>Add to Cart</t>
        </is>
      </c>
      <c r="D33" s="45" t="inlineStr">
        <is>
          <t>Negative</t>
        </is>
      </c>
      <c r="E33" s="44" t="n"/>
      <c r="F33" s="44" t="inlineStr">
        <is>
          <t>Passed</t>
        </is>
      </c>
      <c r="G33" s="44" t="n"/>
      <c r="H33" s="45" t="inlineStr">
        <is>
          <t>User is on the Luma home page or a category page (e.g. Pants).</t>
        </is>
      </c>
      <c r="I33" s="45" t="inlineStr">
        <is>
          <t>Color: White
Size: XW
Quantity: -1</t>
        </is>
      </c>
      <c r="J33" s="45" t="inlineStr">
        <is>
          <t>1. Open an item.
2. Select the size and color.
3. Enter a negative quantity (see Test Data).
4. Click "Add to Cart".</t>
        </is>
      </c>
      <c r="K33" s="45" t="inlineStr">
        <is>
          <t>The item is not added and the message "Please enter a quantity greater than 0." is displayed.</t>
        </is>
      </c>
      <c r="L33" s="45" t="n"/>
      <c r="M33" s="45" t="n"/>
      <c r="N33" s="45" t="n"/>
      <c r="O33" s="46" t="n"/>
      <c r="P33" s="45" t="n"/>
      <c r="Q33" s="45" t="inlineStr">
        <is>
          <t>Given that you are at Luma's home page or at a category's page. Ex: "Pants"
When you hover over an item you like
And you select the desired Size &amp; Color
And fill in a negative number on the quantity of the product that you want
And click on "Add to cart"
Then the website should display an error message that says: "Please enter a quantity greater than 0."</t>
        </is>
      </c>
      <c r="R33" s="45" t="str">
        <f>IF(AND(A33="",B33=""),"",IF(A33="","Missing ID",IF(COUNTIF($A:$A,A33)&gt;1,"Duplicate ID",IF(B33="","Missing title",IF(C33="","Missing module",IF(J33="","Missing steps",IF(K33="","Missing expected result",IF(AND(F33=St_Failed,L33=""),"Add actual result","OK"))))))))</f>
        <v>OK</v>
      </c>
    </row>
    <row r="34" ht="122.75" customHeight="1">
      <c r="A34" s="44" t="inlineStr">
        <is>
          <t>SMP-030</t>
        </is>
      </c>
      <c r="B34" s="45" t="inlineStr">
        <is>
          <t>Add an item with quantity zero</t>
        </is>
      </c>
      <c r="C34" s="45" t="inlineStr">
        <is>
          <t>Add to Cart</t>
        </is>
      </c>
      <c r="D34" s="45" t="inlineStr">
        <is>
          <t>Boundary</t>
        </is>
      </c>
      <c r="E34" s="44" t="n"/>
      <c r="F34" s="44" t="inlineStr">
        <is>
          <t>Passed</t>
        </is>
      </c>
      <c r="G34" s="44" t="n"/>
      <c r="H34" s="45" t="inlineStr">
        <is>
          <t>User is on the Luma home page or a category page (e.g. Pants).</t>
        </is>
      </c>
      <c r="I34" s="45" t="inlineStr">
        <is>
          <t>Color: Purple
Size: M
Quantity: 0</t>
        </is>
      </c>
      <c r="J34" s="45" t="inlineStr">
        <is>
          <t>1. Open an item.
2. Select the size and color.
3. Enter 0 as the quantity.
4. Click "Add to Cart".</t>
        </is>
      </c>
      <c r="K34" s="45" t="inlineStr">
        <is>
          <t>The item is not added and the message "Please enter a quantity greater than 0." is displayed.</t>
        </is>
      </c>
      <c r="L34" s="45" t="n"/>
      <c r="M34" s="45" t="n"/>
      <c r="N34" s="45" t="n"/>
      <c r="O34" s="46" t="n"/>
      <c r="P34" s="45" t="n"/>
      <c r="Q34" s="45" t="inlineStr">
        <is>
          <t>Given that you are at Luma's home page or at a category's page. Ex: "Pants"
When you hover over an item you like
And you select the desired Size &amp; Color
And fill in a zero on the quantity of the product that you want
And click on "Add to cart"
Then the website should display an error message that says: "Please enter a quantity greater than 0."</t>
        </is>
      </c>
      <c r="R34" s="45" t="str">
        <f>IF(AND(A34="",B34=""),"",IF(A34="","Missing ID",IF(COUNTIF($A:$A,A34)&gt;1,"Duplicate ID",IF(B34="","Missing title",IF(C34="","Missing module",IF(J34="","Missing steps",IF(K34="","Missing expected result",IF(AND(F34=St_Failed,L34=""),"Add actual result","OK"))))))))</f>
        <v>OK</v>
      </c>
    </row>
    <row r="35" ht="97.25" customHeight="1">
      <c r="A35" s="44" t="inlineStr">
        <is>
          <t>SMP-031</t>
        </is>
      </c>
      <c r="B35" s="45" t="inlineStr">
        <is>
          <t>Add a product to the cart from search results</t>
        </is>
      </c>
      <c r="C35" s="45" t="inlineStr">
        <is>
          <t>Add to Cart</t>
        </is>
      </c>
      <c r="D35" s="45" t="inlineStr">
        <is>
          <t>Functional</t>
        </is>
      </c>
      <c r="E35" s="44" t="n"/>
      <c r="F35" s="44" t="inlineStr">
        <is>
          <t>Passed</t>
        </is>
      </c>
      <c r="G35" s="44" t="n"/>
      <c r="H35" s="45" t="inlineStr">
        <is>
          <t>User has searched for a product to purchase.</t>
        </is>
      </c>
      <c r="I35" s="45" t="inlineStr">
        <is>
          <t>Product: "Radiant Tee"
Color: Orange
Size: S
Quantity: 33</t>
        </is>
      </c>
      <c r="J35" s="45" t="inlineStr">
        <is>
          <t>1. Search for the desired product and open it.
2. Select the size, color and quantity.
3. Click "Add to Cart".</t>
        </is>
      </c>
      <c r="K35" s="45" t="inlineStr">
        <is>
          <t>The item is added to the cart with the selected size, color and quantity.</t>
        </is>
      </c>
      <c r="L35" s="45" t="n"/>
      <c r="M35" s="45" t="n"/>
      <c r="N35" s="45" t="n"/>
      <c r="O35" s="46" t="n"/>
      <c r="P35" s="45" t="n"/>
      <c r="Q35" s="45" t="inlineStr">
        <is>
          <t>Given that I have searched for a product that I want to purchase
When you hover over an item you like
And you select the desired Size &amp; Color
And fill in the desired Quantity that you want of the product
And click "Add to cart"
Then item with desired Size and Color should be added to cart</t>
        </is>
      </c>
      <c r="R35" s="45" t="str">
        <f>IF(AND(A35="",B35=""),"",IF(A35="","Missing ID",IF(COUNTIF($A:$A,A35)&gt;1,"Duplicate ID",IF(B35="","Missing title",IF(C35="","Missing module",IF(J35="","Missing steps",IF(K35="","Missing expected result",IF(AND(F35=St_Failed,L35=""),"Add actual result","OK"))))))))</f>
        <v>OK</v>
      </c>
    </row>
    <row r="36" ht="84.5" customHeight="1">
      <c r="A36" s="44" t="inlineStr">
        <is>
          <t>SMP-032</t>
        </is>
      </c>
      <c r="B36" s="45" t="inlineStr">
        <is>
          <t>Add a product to the cart from a category page</t>
        </is>
      </c>
      <c r="C36" s="45" t="inlineStr">
        <is>
          <t>Add to Cart</t>
        </is>
      </c>
      <c r="D36" s="45" t="inlineStr">
        <is>
          <t>Functional</t>
        </is>
      </c>
      <c r="E36" s="44" t="n"/>
      <c r="F36" s="44" t="inlineStr">
        <is>
          <t>Passed</t>
        </is>
      </c>
      <c r="G36" s="44" t="n"/>
      <c r="H36" s="45" t="inlineStr">
        <is>
          <t>User is on a category page.</t>
        </is>
      </c>
      <c r="I36" s="45" t="inlineStr">
        <is>
          <t>Category: Mens &gt; Bottom &gt; Pants
Color: Yellow
Size: XS
Quantity: 11</t>
        </is>
      </c>
      <c r="J36" s="45" t="inlineStr">
        <is>
          <t>1. Open an item from the category page.
2. Select the size, color and quantity.
3. Click "Add to Cart".</t>
        </is>
      </c>
      <c r="K36" s="45" t="inlineStr">
        <is>
          <t>The item is added to the cart with the selected size, color and quantity.</t>
        </is>
      </c>
      <c r="L36" s="45" t="n"/>
      <c r="M36" s="45" t="n"/>
      <c r="N36" s="45" t="n"/>
      <c r="O36" s="46" t="n"/>
      <c r="P36" s="45" t="n"/>
      <c r="Q36" s="45" t="inlineStr">
        <is>
          <t>Given that I'm in a certain category
When you hover over an item you like
And you select the desired Size &amp; Color
And fill in the desired Quantity that you want of the product
And click "Add to cart"
Then item with desired Size and Color should be added to cart</t>
        </is>
      </c>
      <c r="R36" s="45" t="str">
        <f>IF(AND(A36="",B36=""),"",IF(A36="","Missing ID",IF(COUNTIF($A:$A,A36)&gt;1,"Duplicate ID",IF(B36="","Missing title",IF(C36="","Missing module",IF(J36="","Missing steps",IF(K36="","Missing expected result",IF(AND(F36=St_Failed,L36=""),"Add actual result","OK"))))))))</f>
        <v>OK</v>
      </c>
    </row>
    <row r="37" ht="301.25" customHeight="1">
      <c r="A37" s="44" t="inlineStr">
        <is>
          <t>SMP-033</t>
        </is>
      </c>
      <c r="B37" s="45" t="inlineStr">
        <is>
          <t>Buy a product for the first time</t>
        </is>
      </c>
      <c r="C37" s="45" t="inlineStr">
        <is>
          <t>Ordering</t>
        </is>
      </c>
      <c r="D37" s="45" t="inlineStr">
        <is>
          <t>Functional</t>
        </is>
      </c>
      <c r="E37" s="44" t="n"/>
      <c r="F37" s="44" t="inlineStr">
        <is>
          <t>Passed</t>
        </is>
      </c>
      <c r="G37" s="44" t="n"/>
      <c r="H37" s="45" t="inlineStr">
        <is>
          <t>It is the user's first purchase and an item is in the cart.</t>
        </is>
      </c>
      <c r="I37" s="45" t="inlineStr">
        <is>
          <t>Product: "Tiberius Gym Tank"
Street Address: 1540 S 8th St
City: Colorado Springs
State: Colorado
ZIP: 80937
Phone: 561-562-0019</t>
        </is>
      </c>
      <c r="J37" s="45" t="inlineStr">
        <is>
          <t>1. Click "Proceed to Checkout".
2. On the Shipping page, check that First name and Last name are pre-filled.
3. Fill in the required shipping fields (see Test Data).
4. Select a shipping method and click "Next".
5. On the Review &amp; Payments page, check the order information (items, price, shipping address, shipping method).
6. Click "Place Order".</t>
        </is>
      </c>
      <c r="K37" s="45" t="inlineStr">
        <is>
          <t>The order is placed. A "Thank you for your purchase!" message and the order ID are displayed.</t>
        </is>
      </c>
      <c r="L37" s="45" t="n"/>
      <c r="M37" s="45" t="n"/>
      <c r="N37" s="45" t="n"/>
      <c r="O37" s="46" t="n"/>
      <c r="P37" s="45" t="n"/>
      <c r="Q37" s="45" t="inlineStr">
        <is>
          <t>Given that is your first time buying an item
And that you have an item in your cart
When you click on "Proceed to checkout"
Then you should be redirected to a Shipping page
And the "First name" &amp; "Last name" should be already filled in
When you fill in the required fields such as Street Address:
And the City
And select a State or Province
And fill in a Zip/Postal code
And fill in your Phone number
When you select a shipping method
And click on Next
Then you should be taken to a Review &amp; payments page
And your Order and its information should be there, such as Price
And Item in cart, with its details
And The shipping address
And the shipping methods
When you click on "Place your order"
Then your order should be done
And the website will display a "Thank you for your purchase!" message along with your order's ID</t>
        </is>
      </c>
      <c r="R37" s="45" t="str">
        <f>IF(AND(A37="",B37=""),"",IF(A37="","Missing ID",IF(COUNTIF($A:$A,A37)&gt;1,"Duplicate ID",IF(B37="","Missing title",IF(C37="","Missing module",IF(J37="","Missing steps",IF(K37="","Missing expected result",IF(AND(F37=St_Failed,L37=""),"Add actual result","OK"))))))))</f>
        <v>OK</v>
      </c>
    </row>
    <row r="38" ht="161" customHeight="1">
      <c r="A38" s="44" t="inlineStr">
        <is>
          <t>SMP-034</t>
        </is>
      </c>
      <c r="B38" s="45" t="inlineStr">
        <is>
          <t>Buy a product as a returning customer</t>
        </is>
      </c>
      <c r="C38" s="45" t="inlineStr">
        <is>
          <t>Ordering</t>
        </is>
      </c>
      <c r="D38" s="45" t="inlineStr">
        <is>
          <t>Functional</t>
        </is>
      </c>
      <c r="E38" s="44" t="n"/>
      <c r="F38" s="44" t="inlineStr">
        <is>
          <t>Passed</t>
        </is>
      </c>
      <c r="G38" s="44" t="n"/>
      <c r="H38" s="45" t="inlineStr">
        <is>
          <t>User has purchased before and an item is in the cart.</t>
        </is>
      </c>
      <c r="I38" s="45" t="inlineStr">
        <is>
          <t>Product: "Circe Hooded Ice Fleece"
Color: Grey
Size: S</t>
        </is>
      </c>
      <c r="J38" s="45" t="inlineStr">
        <is>
          <t>1. Click "Proceed to Checkout".
2. On the Shipping page, check that the address from the previous order is selected.
3. Select a shipping method and click "Next".
4. On the Payment &amp; Review page, click "Place Order".</t>
        </is>
      </c>
      <c r="K38" s="45" t="inlineStr">
        <is>
          <t>The address from the previous order is pre-selected. The order is placed and a "Thank you for your purchase!" message with the order ID is displayed.</t>
        </is>
      </c>
      <c r="L38" s="45" t="n"/>
      <c r="M38" s="45" t="n"/>
      <c r="N38" s="45" t="n"/>
      <c r="O38" s="46" t="n"/>
      <c r="P38" s="45" t="n"/>
      <c r="Q38" s="45" t="inlineStr">
        <is>
          <t>Given that you have purchased before
And you had an item in your cart
And you proceeded to the checkout
Then you should be redirected to the Shipping page
And your address from the previous order should be selected
When you select your shipping method
And click on Next
Then you should be taken to the Payment &amp; Review page
When you click on "Place order"
Then your order should be completed
And the website will display a "Thank you for your purchase!" message along with your order's ID</t>
        </is>
      </c>
      <c r="R38" s="45" t="str">
        <f>IF(AND(A38="",B38=""),"",IF(A38="","Missing ID",IF(COUNTIF($A:$A,A38)&gt;1,"Duplicate ID",IF(B38="","Missing title",IF(C38="","Missing module",IF(J38="","Missing steps",IF(K38="","Missing expected result",IF(AND(F38=St_Failed,L38=""),"Add actual result","OK"))))))))</f>
        <v>OK</v>
      </c>
    </row>
    <row r="39" ht="71.75" customHeight="1">
      <c r="A39" s="44" t="inlineStr">
        <is>
          <t>SMP-035</t>
        </is>
      </c>
      <c r="B39" s="45" t="inlineStr">
        <is>
          <t>Continue shopping after placing an order</t>
        </is>
      </c>
      <c r="C39" s="45" t="inlineStr">
        <is>
          <t>Ordering</t>
        </is>
      </c>
      <c r="D39" s="45" t="inlineStr">
        <is>
          <t>Functional</t>
        </is>
      </c>
      <c r="E39" s="44" t="n"/>
      <c r="F39" s="44" t="inlineStr">
        <is>
          <t>Passed</t>
        </is>
      </c>
      <c r="G39" s="44" t="n"/>
      <c r="H39" s="45" t="inlineStr">
        <is>
          <t>User has placed an order and is on the "Thank you for your purchase" page.</t>
        </is>
      </c>
      <c r="I39" s="45" t="inlineStr"/>
      <c r="J39" s="45" t="inlineStr">
        <is>
          <t>1. Click "Continue Shopping".</t>
        </is>
      </c>
      <c r="K39" s="45" t="inlineStr">
        <is>
          <t>The user is taken to the home page and can continue shopping.</t>
        </is>
      </c>
      <c r="L39" s="45" t="n"/>
      <c r="M39" s="45" t="n"/>
      <c r="N39" s="45" t="n"/>
      <c r="O39" s="46" t="n"/>
      <c r="P39" s="45" t="n"/>
      <c r="Q39" s="45" t="inlineStr">
        <is>
          <t>Given that you've placed an order
And you are in the "Thank you for your purchase" page
When you click on "Continue shopping"
Then you should be taken to the home page to continue shopping</t>
        </is>
      </c>
      <c r="R39" s="45" t="str">
        <f>IF(AND(A39="",B39=""),"",IF(A39="","Missing ID",IF(COUNTIF($A:$A,A39)&gt;1,"Duplicate ID",IF(B39="","Missing title",IF(C39="","Missing module",IF(J39="","Missing steps",IF(K39="","Missing expected result",IF(AND(F39=St_Failed,L39=""),"Add actual result","OK"))))))))</f>
        <v>OK</v>
      </c>
    </row>
    <row r="40" ht="122.75" customHeight="1">
      <c r="A40" s="44" t="inlineStr">
        <is>
          <t>SMP-036</t>
        </is>
      </c>
      <c r="B40" s="45" t="inlineStr">
        <is>
          <t>View orders while logged in</t>
        </is>
      </c>
      <c r="C40" s="45" t="inlineStr">
        <is>
          <t>Ordering</t>
        </is>
      </c>
      <c r="D40" s="45" t="inlineStr">
        <is>
          <t>Functional</t>
        </is>
      </c>
      <c r="E40" s="44" t="n"/>
      <c r="F40" s="44" t="inlineStr">
        <is>
          <t>Passed</t>
        </is>
      </c>
      <c r="G40" s="44" t="n"/>
      <c r="H40" s="45" t="inlineStr">
        <is>
          <t>User has already placed an order, is logged in and is on the home page.</t>
        </is>
      </c>
      <c r="I40" s="45" t="inlineStr"/>
      <c r="J40" s="45" t="inlineStr">
        <is>
          <t>1. Click the user name in the top-right corner and select "My Account".
2. Click "My Orders".</t>
        </is>
      </c>
      <c r="K40" s="45" t="inlineStr">
        <is>
          <t>The user can see their previous orders and their information.</t>
        </is>
      </c>
      <c r="L40" s="45" t="n"/>
      <c r="M40" s="45" t="n"/>
      <c r="N40" s="45" t="n"/>
      <c r="O40" s="46" t="n"/>
      <c r="P40" s="45" t="n"/>
      <c r="Q40" s="45" t="inlineStr">
        <is>
          <t>Given that you have already placed an order
And you are logged in
And you are in the home page
When you click on your name in the top right corner of the website
And click on "My account"
Then you should be redirected to a "My account" page
When you click on "My orders"
Then you should be able to view your orders</t>
        </is>
      </c>
      <c r="R40" s="45" t="str">
        <f>IF(AND(A40="",B40=""),"",IF(A40="","Missing ID",IF(COUNTIF($A:$A,A40)&gt;1,"Duplicate ID",IF(B40="","Missing title",IF(C40="","Missing module",IF(J40="","Missing steps",IF(K40="","Missing expected result",IF(AND(F40=St_Failed,L40=""),"Add actual result","OK"))))))))</f>
        <v>OK</v>
      </c>
    </row>
    <row r="41" ht="161" customHeight="1">
      <c r="A41" s="44" t="inlineStr">
        <is>
          <t>SMP-037</t>
        </is>
      </c>
      <c r="B41" s="45" t="inlineStr">
        <is>
          <t>Find an order by email (logged out)</t>
        </is>
      </c>
      <c r="C41" s="45" t="inlineStr">
        <is>
          <t>Ordering</t>
        </is>
      </c>
      <c r="D41" s="45" t="inlineStr">
        <is>
          <t>Functional</t>
        </is>
      </c>
      <c r="E41" s="44" t="n"/>
      <c r="F41" s="44" t="inlineStr">
        <is>
          <t>Passed</t>
        </is>
      </c>
      <c r="G41" s="44" t="n"/>
      <c r="H41" s="45" t="inlineStr">
        <is>
          <t>User has placed an order and is not logged in.</t>
        </is>
      </c>
      <c r="I41" s="45" t="inlineStr">
        <is>
          <t>Order ID: 000020238
Billing last name: Pedro
Find order by: Email
Email: wheauhudhua@gmail.comaosm</t>
        </is>
      </c>
      <c r="J41" s="45" t="inlineStr">
        <is>
          <t>1. Go to the "Orders and Returns" page.
2. Fill in the required fields: Order ID and billing Last name.
3. Select "Find Order By: Email" and enter the email.
4. Click "Continue".</t>
        </is>
      </c>
      <c r="K41" s="45" t="inlineStr">
        <is>
          <t>A page with all the order information is displayed: items, quantity, price, subtotal, grand total, shipping address, shipping method, billing address and payment method.</t>
        </is>
      </c>
      <c r="L41" s="45" t="n"/>
      <c r="M41" s="45" t="n"/>
      <c r="N41" s="45" t="n"/>
      <c r="O41" s="46" t="n"/>
      <c r="P41" s="45" t="n"/>
      <c r="Q41" s="45" t="inlineStr">
        <is>
          <t>Given that you have placed an order
And you aren't logged in
When you access the Orders &amp; Returns page
And fill in the required fields such as: Order ID
And fill in the billing Last name
And select "Find order" by "Email"
And fill in your email
And when you click on "Continue"
Then you should be taken to a page with all the information about your order including the Item, Quantity, Price, Grand total, Subtotal, shipping address, Shipping Method, Billing Address and Payment Method</t>
        </is>
      </c>
      <c r="R41" s="45" t="str">
        <f>IF(AND(A41="",B41=""),"",IF(A41="","Missing ID",IF(COUNTIF($A:$A,A41)&gt;1,"Duplicate ID",IF(B41="","Missing title",IF(C41="","Missing module",IF(J41="","Missing steps",IF(K41="","Missing expected result",IF(AND(F41=St_Failed,L41=""),"Add actual result","OK"))))))))</f>
        <v>OK</v>
      </c>
    </row>
    <row r="42" ht="161" customHeight="1">
      <c r="A42" s="44" t="inlineStr">
        <is>
          <t>SMP-038</t>
        </is>
      </c>
      <c r="B42" s="45" t="inlineStr">
        <is>
          <t>Find an order by ZIP code (logged out)</t>
        </is>
      </c>
      <c r="C42" s="45" t="inlineStr">
        <is>
          <t>Ordering</t>
        </is>
      </c>
      <c r="D42" s="45" t="inlineStr">
        <is>
          <t>Functional</t>
        </is>
      </c>
      <c r="E42" s="44" t="n"/>
      <c r="F42" s="44" t="inlineStr">
        <is>
          <t>Passed</t>
        </is>
      </c>
      <c r="G42" s="44" t="n"/>
      <c r="H42" s="45" t="inlineStr">
        <is>
          <t>User has placed an order and is not logged in.</t>
        </is>
      </c>
      <c r="I42" s="45" t="inlineStr">
        <is>
          <t>Order ID: 000020237
Billing last name: Pedro
Find order by: ZIP Code
ZIP: 12341234</t>
        </is>
      </c>
      <c r="J42" s="45" t="inlineStr">
        <is>
          <t>1. Go to the "Orders and Returns" page.
2. Fill in the required fields: Order ID and billing Last name.
3. Select "Find Order By: ZIP Code" and enter the ZIP code.
4. Click "Continue".</t>
        </is>
      </c>
      <c r="K42" s="45" t="inlineStr">
        <is>
          <t>A page with all the order information is displayed: items, quantity, price, subtotal, grand total, shipping address, shipping method, billing address and payment method.</t>
        </is>
      </c>
      <c r="L42" s="45" t="n"/>
      <c r="M42" s="45" t="n"/>
      <c r="N42" s="45" t="n"/>
      <c r="O42" s="46" t="n"/>
      <c r="P42" s="45" t="inlineStr">
        <is>
          <t>Steps corrected: the original run sheet repeated the email steps from SMP-037; this version follows the original test-case sheet.</t>
        </is>
      </c>
      <c r="Q42" s="45" t="inlineStr">
        <is>
          <t>Given that you have placed an order
And you aren't logged in
When you access the Orders &amp; Returns page
And fill in the required fields such as: Order ID
And fill in the billing Last name
And select "Find order" by "Zipcode"
And fill in your Zipcode
And when you click on "Continue"
Then you should be taken to a page with all the information about your order including the Item, Quantity, Price, Grand total, Subtotal, shipping address, Shipping Method, Billing Address and Payment Method</t>
        </is>
      </c>
      <c r="R42" s="45" t="str">
        <f>IF(AND(A42="",B42=""),"",IF(A42="","Missing ID",IF(COUNTIF($A:$A,A42)&gt;1,"Duplicate ID",IF(B42="","Missing title",IF(C42="","Missing module",IF(J42="","Missing steps",IF(K42="","Missing expected result",IF(AND(F42=St_Failed,L42=""),"Add actual result","OK"))))))))</f>
        <v>OK</v>
      </c>
    </row>
    <row r="43" ht="97.25" customHeight="1">
      <c r="A43" s="44" t="inlineStr">
        <is>
          <t>SMP-039</t>
        </is>
      </c>
      <c r="B43" s="45" t="inlineStr">
        <is>
          <t>Reorder a previous order</t>
        </is>
      </c>
      <c r="C43" s="45" t="inlineStr">
        <is>
          <t>Ordering</t>
        </is>
      </c>
      <c r="D43" s="45" t="inlineStr">
        <is>
          <t>Functional</t>
        </is>
      </c>
      <c r="E43" s="44" t="n"/>
      <c r="F43" s="44" t="inlineStr">
        <is>
          <t>Passed</t>
        </is>
      </c>
      <c r="G43" s="44" t="n"/>
      <c r="H43" s="45" t="inlineStr">
        <is>
          <t>User has purchased before and is on the "My Orders" page.</t>
        </is>
      </c>
      <c r="I43" s="45" t="inlineStr"/>
      <c r="J43" s="45" t="inlineStr">
        <is>
          <t>1. Find the order to reorder.
2. Click "Reorder".</t>
        </is>
      </c>
      <c r="K43" s="45" t="inlineStr">
        <is>
          <t>The user is redirected to the "Shopping Cart" page with the same items and options as the original order, ready to be ordered.</t>
        </is>
      </c>
      <c r="L43" s="45" t="n"/>
      <c r="M43" s="45" t="n"/>
      <c r="N43" s="45" t="n"/>
      <c r="O43" s="46" t="n"/>
      <c r="P43" s="45" t="n"/>
      <c r="Q43" s="45" t="inlineStr">
        <is>
          <t>Given that you've made a purchase before
And you are in the "My orders" page
When you see the order that you want to reorder
And you click on "Reorder"
Then you'll be redirected to the "Shopping cart" page
And the same order with the same "features" that you selected before will be ready to order</t>
        </is>
      </c>
      <c r="R43" s="45" t="str">
        <f>IF(AND(A43="",B43=""),"",IF(A43="","Missing ID",IF(COUNTIF($A:$A,A43)&gt;1,"Duplicate ID",IF(B43="","Missing title",IF(C43="","Missing module",IF(J43="","Missing steps",IF(K43="","Missing expected result",IF(AND(F43=St_Failed,L43=""),"Add actual result","OK"))))))))</f>
        <v>OK</v>
      </c>
    </row>
    <row r="44" ht="148.25" customHeight="1">
      <c r="A44" s="44" t="inlineStr">
        <is>
          <t>SMP-040</t>
        </is>
      </c>
      <c r="B44" s="45" t="inlineStr">
        <is>
          <t>Print an order</t>
        </is>
      </c>
      <c r="C44" s="45" t="inlineStr">
        <is>
          <t>Ordering</t>
        </is>
      </c>
      <c r="D44" s="45" t="inlineStr">
        <is>
          <t>Functional</t>
        </is>
      </c>
      <c r="E44" s="44" t="n"/>
      <c r="F44" s="44" t="inlineStr">
        <is>
          <t>Passed</t>
        </is>
      </c>
      <c r="G44" s="44" t="n"/>
      <c r="H44" s="45" t="inlineStr">
        <is>
          <t>User is on the "My Orders" page.</t>
        </is>
      </c>
      <c r="I44" s="45" t="inlineStr"/>
      <c r="J44" s="45" t="inlineStr">
        <is>
          <t>1. Find the order to print.
2. Click "View Order".
3. Click "Print Order".</t>
        </is>
      </c>
      <c r="K44" s="45" t="inlineStr">
        <is>
          <t>The print dialog opens showing all order information: items ordered, product details, subtotal, grand total, discount, shipping price, and shipping and billing address.</t>
        </is>
      </c>
      <c r="L44" s="45" t="n"/>
      <c r="M44" s="45" t="n"/>
      <c r="N44" s="45" t="n"/>
      <c r="O44" s="46" t="n"/>
      <c r="P44" s="45" t="n"/>
      <c r="Q44" s="45" t="inlineStr">
        <is>
          <t>Given that you are in the "My orders" page
When you find the order you want to print
And click on "View order"
Then you will be taken to a page where you can see all the information on your order
When you click on "Print order"
Then your order should be printed with all its information, including the items ordered
And the products info, subtotal, Grand total, Discount, Shipping price
And Shipping and billing address</t>
        </is>
      </c>
      <c r="R44" s="45" t="str">
        <f>IF(AND(A44="",B44=""),"",IF(A44="","Missing ID",IF(COUNTIF($A:$A,A44)&gt;1,"Duplicate ID",IF(B44="","Missing title",IF(C44="","Missing module",IF(J44="","Missing steps",IF(K44="","Missing expected result",IF(AND(F44=St_Failed,L44=""),"Add actual result","OK"))))))))</f>
        <v>OK</v>
      </c>
    </row>
    <row r="45" ht="199.25" customHeight="1">
      <c r="A45" s="44" t="inlineStr">
        <is>
          <t>SMP-041</t>
        </is>
      </c>
      <c r="B45" s="45" t="inlineStr">
        <is>
          <t>Shipping with a fake ZIP code</t>
        </is>
      </c>
      <c r="C45" s="45" t="inlineStr">
        <is>
          <t>Ordering</t>
        </is>
      </c>
      <c r="D45" s="45" t="inlineStr">
        <is>
          <t>Negative</t>
        </is>
      </c>
      <c r="E45" s="44" t="n"/>
      <c r="F45" s="44" t="inlineStr">
        <is>
          <t>Failed</t>
        </is>
      </c>
      <c r="G45" s="44" t="n"/>
      <c r="H45" s="45" t="inlineStr">
        <is>
          <t>User is buying an item and is on the Shipping page. First name and Last name are pre-filled.</t>
        </is>
      </c>
      <c r="I45" s="45" t="inlineStr">
        <is>
          <t>Product: "Overnight Duffle"
Street Address: 3573 Conroy Rd
City: Orlando
State: Florida
ZIP: 00000
Phone: (407) 363-9377</t>
        </is>
      </c>
      <c r="J45" s="45" t="inlineStr">
        <is>
          <t>1. Fill in the required shipping fields.
2. Enter a fake ZIP/Postal code (see Test Data).
3. Select a shipping method and click "Next".</t>
        </is>
      </c>
      <c r="K45" s="45" t="inlineStr">
        <is>
          <t>The user cannot proceed to payment and an error states that the ZIP/Postal code is invalid (e.g. "Provided Zip/Postal Code seems to be invalid. Example: 12345-6789; 12345.").</t>
        </is>
      </c>
      <c r="L45" s="45" t="inlineStr">
        <is>
          <t>The website accepts an obviously fake ZIP code. It warns the user, but the validation should be stricter.</t>
        </is>
      </c>
      <c r="M45" s="45" t="n"/>
      <c r="N45" s="45" t="n"/>
      <c r="O45" s="46" t="n"/>
      <c r="P45" s="45" t="inlineStr">
        <is>
          <t>The original run sheet used "oasdka" as the ZIP code.</t>
        </is>
      </c>
      <c r="Q45" s="45" t="inlineStr">
        <is>
          <t>Given that you're buying an item
And you are on the shipping page
And the "First name" &amp; "Last name" should be already filled in
When you fill in the required fields such as Street Address:
And city
And select a State or Province
And fill in a Fake Zip/Postal code
And fill in your Phone number
When you select a shipping method
And click on Next
Then the website shouldn't let you proceed to payments, and should display an error message that says: "Provided Zip/Postal Code seems to be invalid. Example: 12345-6789; 12345. If you believe it is the right one you can ignore this notice."</t>
        </is>
      </c>
      <c r="R45" s="45" t="str">
        <f>IF(AND(A45="",B45=""),"",IF(A45="","Missing ID",IF(COUNTIF($A:$A,A45)&gt;1,"Duplicate ID",IF(B45="","Missing title",IF(C45="","Missing module",IF(J45="","Missing steps",IF(K45="","Missing expected result",IF(AND(F45=St_Failed,L45=""),"Add actual result","OK"))))))))</f>
        <v>OK</v>
      </c>
    </row>
    <row r="46" ht="161" customHeight="1">
      <c r="A46" s="44" t="inlineStr">
        <is>
          <t>SMP-042</t>
        </is>
      </c>
      <c r="B46" s="45" t="inlineStr">
        <is>
          <t>Shipping with an invalid phone number</t>
        </is>
      </c>
      <c r="C46" s="45" t="inlineStr">
        <is>
          <t>Ordering</t>
        </is>
      </c>
      <c r="D46" s="45" t="inlineStr">
        <is>
          <t>Negative</t>
        </is>
      </c>
      <c r="E46" s="44" t="n"/>
      <c r="F46" s="44" t="inlineStr">
        <is>
          <t>Failed</t>
        </is>
      </c>
      <c r="G46" s="44" t="n"/>
      <c r="H46" s="45" t="inlineStr">
        <is>
          <t>User is buying an item and is on the Shipping page. First name and Last name are pre-filled.</t>
        </is>
      </c>
      <c r="I46" s="45" t="inlineStr">
        <is>
          <t>Product: "Angel light running shorts"
Street Address: 1885 S 900 W
City: Lake City
State: Utah
ZIP: 84104
Phone: abcdefg</t>
        </is>
      </c>
      <c r="J46" s="45" t="inlineStr">
        <is>
          <t>1. Fill in the required shipping fields.
2. Enter a phone number made only of letters (see Test Data).
3. Select a shipping method and click "Next".</t>
        </is>
      </c>
      <c r="K46" s="45" t="inlineStr">
        <is>
          <t>The website does not accept an invalid phone number and the user cannot proceed to payment.</t>
        </is>
      </c>
      <c r="L46" s="45" t="inlineStr">
        <is>
          <t>The phone number field accepts letters only. It should accept numbers only.</t>
        </is>
      </c>
      <c r="M46" s="45" t="n"/>
      <c r="N46" s="45" t="n"/>
      <c r="O46" s="46" t="n"/>
      <c r="P46" s="45" t="inlineStr">
        <is>
          <t>The original run sheet used "bbbbb" as the phone number.</t>
        </is>
      </c>
      <c r="Q46" s="45" t="inlineStr">
        <is>
          <t>Given that you're buying an item
And you are on the shipping page
And the "First name" &amp; "Last name" should be already filled in
When you fill in the required fields such as Street Address:
And city
And select a State or Province
And fill in a Zip/Postal code
And fill in your Phone number with just letters
When you select a shipping method
And click on Next
Then the website shouldn't let you proceed to payments</t>
        </is>
      </c>
      <c r="R46" s="45" t="str">
        <f>IF(AND(A46="",B46=""),"",IF(A46="","Missing ID",IF(COUNTIF($A:$A,A46)&gt;1,"Duplicate ID",IF(B46="","Missing title",IF(C46="","Missing module",IF(J46="","Missing steps",IF(K46="","Missing expected result",IF(AND(F46=St_Failed,L46=""),"Add actual result","OK"))))))))</f>
        <v>OK</v>
      </c>
    </row>
    <row r="47" ht="161" customHeight="1">
      <c r="A47" s="44" t="inlineStr">
        <is>
          <t>SMP-043</t>
        </is>
      </c>
      <c r="B47" s="45" t="inlineStr">
        <is>
          <t>Shipping with a fake city</t>
        </is>
      </c>
      <c r="C47" s="45" t="inlineStr">
        <is>
          <t>Ordering</t>
        </is>
      </c>
      <c r="D47" s="45" t="inlineStr">
        <is>
          <t>Negative</t>
        </is>
      </c>
      <c r="E47" s="44" t="n"/>
      <c r="F47" s="44" t="inlineStr">
        <is>
          <t>Failed</t>
        </is>
      </c>
      <c r="G47" s="44" t="n"/>
      <c r="H47" s="45" t="inlineStr">
        <is>
          <t>User is buying an item and is on the Shipping page. First name and Last name are pre-filled.</t>
        </is>
      </c>
      <c r="I47" s="45" t="inlineStr">
        <is>
          <t>Product: "Yoga pants"
Street Address: 3900 N 452 E
City: 12345
State: Hawaii
ZIP: 84104
Phone: 965-369-0021</t>
        </is>
      </c>
      <c r="J47" s="45" t="inlineStr">
        <is>
          <t>1. Fill in the required shipping fields.
2. Enter a made-up city in the City field (see Test Data).
3. Select a shipping method and click "Next".</t>
        </is>
      </c>
      <c r="K47" s="45" t="inlineStr">
        <is>
          <t>The website does not accept a city that does not exist and the user cannot proceed to payment.</t>
        </is>
      </c>
      <c r="L47" s="45" t="inlineStr">
        <is>
          <t>The website accepts random city names, such as bbbbbbbbbbbbbbbb.</t>
        </is>
      </c>
      <c r="M47" s="45" t="n"/>
      <c r="N47" s="45" t="n"/>
      <c r="O47" s="46" t="n"/>
      <c r="P47" s="45" t="inlineStr">
        <is>
          <t>The original run sheet used "llllll" as the city.</t>
        </is>
      </c>
      <c r="Q47" s="45" t="inlineStr">
        <is>
          <t>Given that you're buying an item
And you are on the shipping page
And the "First name" &amp; "Last name" should be already filled in
When you fill in the required fields such as Street Address:
And fill in the City field with a fake city
And select a State or Province
And fill in a Zip/Postal code
And fill in your Phone number
When you select a shipping method
And click on Next
Then the website shouldn't let you proceed to payments</t>
        </is>
      </c>
      <c r="R47" s="45" t="str">
        <f>IF(AND(A47="",B47=""),"",IF(A47="","Missing ID",IF(COUNTIF($A:$A,A47)&gt;1,"Duplicate ID",IF(B47="","Missing title",IF(C47="","Missing module",IF(J47="","Missing steps",IF(K47="","Missing expected result",IF(AND(F47=St_Failed,L47=""),"Add actual result","OK"))))))))</f>
        <v>OK</v>
      </c>
    </row>
    <row r="48" ht="186.5" customHeight="1">
      <c r="A48" s="44" t="inlineStr">
        <is>
          <t>SMP-044</t>
        </is>
      </c>
      <c r="B48" s="45" t="inlineStr">
        <is>
          <t>Shipping with the optional Company field left empty</t>
        </is>
      </c>
      <c r="C48" s="45" t="inlineStr">
        <is>
          <t>Ordering</t>
        </is>
      </c>
      <c r="D48" s="45" t="inlineStr">
        <is>
          <t>Functional</t>
        </is>
      </c>
      <c r="E48" s="44" t="n"/>
      <c r="F48" s="44" t="inlineStr">
        <is>
          <t>Passed</t>
        </is>
      </c>
      <c r="G48" s="44" t="n"/>
      <c r="H48" s="45" t="inlineStr">
        <is>
          <t>User is buying an item and is on the Shipping page. First name and Last name are pre-filled.</t>
        </is>
      </c>
      <c r="I48" s="45" t="inlineStr">
        <is>
          <t>Product: "Driven backpack"
Street Address: 1646 Ravine Ln
City: Carpentersville
State: Indiana
ZIP: 601110
Phone: (847) 426-7600</t>
        </is>
      </c>
      <c r="J48" s="45" t="inlineStr">
        <is>
          <t>1. Leave the Company field empty.
2. Fill in the required shipping fields.
3. Select a shipping method and click "Next".</t>
        </is>
      </c>
      <c r="K48" s="45" t="inlineStr">
        <is>
          <t>The user can proceed to payment, because Company is not a required field.</t>
        </is>
      </c>
      <c r="L48" s="45" t="n"/>
      <c r="M48" s="45" t="n"/>
      <c r="N48" s="45" t="n"/>
      <c r="O48" s="46" t="n"/>
      <c r="P48" s="45" t="n"/>
      <c r="Q48" s="45" t="inlineStr">
        <is>
          <t>Given that you're buying an item
And you are on the shipping page
And the "First name" &amp; "Last name" should be already filled in
And you don't fill in the Company's field
When you fill in the required fields such as Street Address:
And fill in the City field with a city
And select a State or Province
And fill in a Zip/Postal code
And fill in your Phone number
When you select a shipping method
And click on Next
Then the website should let you proceed to payments since company isn't a required field</t>
        </is>
      </c>
      <c r="R48" s="45" t="str">
        <f>IF(AND(A48="",B48=""),"",IF(A48="","Missing ID",IF(COUNTIF($A:$A,A48)&gt;1,"Duplicate ID",IF(B48="","Missing title",IF(C48="","Missing module",IF(J48="","Missing steps",IF(K48="","Missing expected result",IF(AND(F48=St_Failed,L48=""),"Add actual result","OK"))))))))</f>
        <v>OK</v>
      </c>
    </row>
    <row r="49" ht="199.25" customHeight="1">
      <c r="A49" s="44" t="inlineStr">
        <is>
          <t>SMP-045</t>
        </is>
      </c>
      <c r="B49" s="45" t="inlineStr">
        <is>
          <t>Shipping with required fields left empty</t>
        </is>
      </c>
      <c r="C49" s="45" t="inlineStr">
        <is>
          <t>Ordering</t>
        </is>
      </c>
      <c r="D49" s="45" t="inlineStr">
        <is>
          <t>Negative</t>
        </is>
      </c>
      <c r="E49" s="44" t="n"/>
      <c r="F49" s="44" t="inlineStr">
        <is>
          <t>Passed</t>
        </is>
      </c>
      <c r="G49" s="44" t="n"/>
      <c r="H49" s="45" t="inlineStr">
        <is>
          <t>User is buying an item and is on the Shipping page. First name and Last name are pre-filled.</t>
        </is>
      </c>
      <c r="I49" s="45" t="inlineStr">
        <is>
          <t>Product: "Diva gym tee"</t>
        </is>
      </c>
      <c r="J49" s="45" t="inlineStr">
        <is>
          <t>1. Leave the required fields empty: Street Address, City, State/Province, ZIP/Postal Code and Phone Number.
2. Select a shipping method and click "Next".</t>
        </is>
      </c>
      <c r="K49" s="45" t="inlineStr">
        <is>
          <t>The user cannot proceed to payment and "This is a required field." is displayed under each required field left empty.</t>
        </is>
      </c>
      <c r="L49" s="45" t="n"/>
      <c r="M49" s="45" t="n"/>
      <c r="N49" s="45" t="n"/>
      <c r="O49" s="46" t="n"/>
      <c r="P49" s="45" t="n"/>
      <c r="Q49" s="45" t="inlineStr">
        <is>
          <t>Given that you're buying an item
And you are on the shipping page
And the "First name" &amp; "Last name" should be already filled in
When you don't fill in the required fields such as Street Address:
And City
And State or Province
And Zip/Postal code
And Phone number
When you select a shipping method
And click on Next
Then the website shouldn't let you proceed to payments and should display a "This is a required field" under the required fields you didn't fill</t>
        </is>
      </c>
      <c r="R49" s="45" t="str">
        <f>IF(AND(A49="",B49=""),"",IF(A49="","Missing ID",IF(COUNTIF($A:$A,A49)&gt;1,"Duplicate ID",IF(B49="","Missing title",IF(C49="","Missing module",IF(J49="","Missing steps",IF(K49="","Missing expected result",IF(AND(F49=St_Failed,L49=""),"Add actual result","OK"))))))))</f>
        <v>OK</v>
      </c>
    </row>
    <row r="50" ht="110" customHeight="1">
      <c r="A50" s="44" t="inlineStr">
        <is>
          <t>SMP-046</t>
        </is>
      </c>
      <c r="B50" s="45" t="inlineStr">
        <is>
          <t>Website compatibility with Microsoft Edge</t>
        </is>
      </c>
      <c r="C50" s="45" t="inlineStr">
        <is>
          <t>Cross-Browser Compatibility</t>
        </is>
      </c>
      <c r="D50" s="45" t="inlineStr">
        <is>
          <t>Compatibility</t>
        </is>
      </c>
      <c r="E50" s="44" t="n"/>
      <c r="F50" s="44" t="inlineStr">
        <is>
          <t>Passed</t>
        </is>
      </c>
      <c r="G50" s="44" t="n"/>
      <c r="H50" s="45" t="inlineStr">
        <is>
          <t>Computer/laptop with the Microsoft Edge browser installed.</t>
        </is>
      </c>
      <c r="I50" s="45" t="inlineStr">
        <is>
          <t>URL: https://magento.softwaretestingboard.com/</t>
        </is>
      </c>
      <c r="J50" s="45" t="inlineStr">
        <is>
          <t>1. Open Microsoft Edge.
2. Go to the Luma website.
3. Scroll through the site.
4. Open a random product.</t>
        </is>
      </c>
      <c r="K50" s="45" t="inlineStr">
        <is>
          <t>The website is compatible with the browser: it is fully functional and the layout is not broken.</t>
        </is>
      </c>
      <c r="L50" s="45" t="n"/>
      <c r="M50" s="45" t="n"/>
      <c r="N50" s="45" t="n"/>
      <c r="O50" s="46" t="n"/>
      <c r="P50" s="45" t="inlineStr">
        <is>
          <t>Labeled "Extra" in the original run sheet (not part of the original test-case design). Its scenario follows the SMP-001 to SMP-003 pattern.</t>
        </is>
      </c>
      <c r="Q50" s="45" t="inlineStr">
        <is>
          <t>Given that you have a computer/laptop with the Microsoft Edge browser
When you access Luma's website on Microsoft Edge
And scroll through the website
And click on a product you desire
Then the website should be compatible with your browser, meaning it should be fully functional and the layout shouldn't be broken</t>
        </is>
      </c>
      <c r="R50" s="45" t="str">
        <f>IF(AND(A50="",B50=""),"",IF(A50="","Missing ID",IF(COUNTIF($A:$A,A50)&gt;1,"Duplicate ID",IF(B50="","Missing title",IF(C50="","Missing module",IF(J50="","Missing steps",IF(K50="","Missing expected result",IF(AND(F50=St_Failed,L50=""),"Add actual result","OK"))))))))</f>
        <v>OK</v>
      </c>
    </row>
    <row r="51" ht="32" customHeight="1">
      <c r="A51" s="44" t="n"/>
      <c r="B51" s="45" t="n"/>
      <c r="C51" s="45" t="n"/>
      <c r="D51" s="45" t="n"/>
      <c r="E51" s="44" t="n"/>
      <c r="F51" s="44" t="n"/>
      <c r="G51" s="44" t="n"/>
      <c r="H51" s="45" t="n"/>
      <c r="I51" s="45" t="n"/>
      <c r="J51" s="45" t="n"/>
      <c r="K51" s="45" t="n"/>
      <c r="L51" s="45" t="n"/>
      <c r="M51" s="45" t="n"/>
      <c r="N51" s="45" t="n"/>
      <c r="O51" s="46" t="n"/>
      <c r="P51" s="45" t="n"/>
      <c r="Q51" s="45" t="n"/>
      <c r="R51" s="45" t="str">
        <f>IF(AND(A51="",B51=""),"",IF(A51="","Missing ID",IF(COUNTIF($A:$A,A51)&gt;1,"Duplicate ID",IF(B51="","Missing title",IF(C51="","Missing module",IF(J51="","Missing steps",IF(K51="","Missing expected result",IF(AND(F51=St_Failed,L51=""),"Add actual result","OK"))))))))</f>
        <v/>
      </c>
    </row>
    <row r="52" ht="32" customHeight="1">
      <c r="A52" s="44" t="n"/>
      <c r="B52" s="45" t="n"/>
      <c r="C52" s="45" t="n"/>
      <c r="D52" s="45" t="n"/>
      <c r="E52" s="44" t="n"/>
      <c r="F52" s="44" t="n"/>
      <c r="G52" s="44" t="n"/>
      <c r="H52" s="45" t="n"/>
      <c r="I52" s="45" t="n"/>
      <c r="J52" s="45" t="n"/>
      <c r="K52" s="45" t="n"/>
      <c r="L52" s="45" t="n"/>
      <c r="M52" s="45" t="n"/>
      <c r="N52" s="45" t="n"/>
      <c r="O52" s="46" t="n"/>
      <c r="P52" s="45" t="n"/>
      <c r="Q52" s="45" t="n"/>
      <c r="R52" s="45" t="str">
        <f>IF(AND(A52="",B52=""),"",IF(A52="","Missing ID",IF(COUNTIF($A:$A,A52)&gt;1,"Duplicate ID",IF(B52="","Missing title",IF(C52="","Missing module",IF(J52="","Missing steps",IF(K52="","Missing expected result",IF(AND(F52=St_Failed,L52=""),"Add actual result","OK"))))))))</f>
        <v/>
      </c>
    </row>
    <row r="53" ht="32" customHeight="1">
      <c r="A53" s="44" t="n"/>
      <c r="B53" s="45" t="n"/>
      <c r="C53" s="45" t="n"/>
      <c r="D53" s="45" t="n"/>
      <c r="E53" s="44" t="n"/>
      <c r="F53" s="44" t="n"/>
      <c r="G53" s="44" t="n"/>
      <c r="H53" s="45" t="n"/>
      <c r="I53" s="45" t="n"/>
      <c r="J53" s="45" t="n"/>
      <c r="K53" s="45" t="n"/>
      <c r="L53" s="45" t="n"/>
      <c r="M53" s="45" t="n"/>
      <c r="N53" s="45" t="n"/>
      <c r="O53" s="46" t="n"/>
      <c r="P53" s="45" t="n"/>
      <c r="Q53" s="45" t="n"/>
      <c r="R53" s="45" t="str">
        <f>IF(AND(A53="",B53=""),"",IF(A53="","Missing ID",IF(COUNTIF($A:$A,A53)&gt;1,"Duplicate ID",IF(B53="","Missing title",IF(C53="","Missing module",IF(J53="","Missing steps",IF(K53="","Missing expected result",IF(AND(F53=St_Failed,L53=""),"Add actual result","OK"))))))))</f>
        <v/>
      </c>
    </row>
    <row r="54" ht="32" customHeight="1">
      <c r="A54" s="44" t="n"/>
      <c r="B54" s="45" t="n"/>
      <c r="C54" s="45" t="n"/>
      <c r="D54" s="45" t="n"/>
      <c r="E54" s="44" t="n"/>
      <c r="F54" s="44" t="n"/>
      <c r="G54" s="44" t="n"/>
      <c r="H54" s="45" t="n"/>
      <c r="I54" s="45" t="n"/>
      <c r="J54" s="45" t="n"/>
      <c r="K54" s="45" t="n"/>
      <c r="L54" s="45" t="n"/>
      <c r="M54" s="45" t="n"/>
      <c r="N54" s="45" t="n"/>
      <c r="O54" s="46" t="n"/>
      <c r="P54" s="45" t="n"/>
      <c r="Q54" s="45" t="n"/>
      <c r="R54" s="45" t="str">
        <f>IF(AND(A54="",B54=""),"",IF(A54="","Missing ID",IF(COUNTIF($A:$A,A54)&gt;1,"Duplicate ID",IF(B54="","Missing title",IF(C54="","Missing module",IF(J54="","Missing steps",IF(K54="","Missing expected result",IF(AND(F54=St_Failed,L54=""),"Add actual result","OK"))))))))</f>
        <v/>
      </c>
    </row>
    <row r="55" ht="32" customHeight="1">
      <c r="A55" s="44" t="n"/>
      <c r="B55" s="45" t="n"/>
      <c r="C55" s="45" t="n"/>
      <c r="D55" s="45" t="n"/>
      <c r="E55" s="44" t="n"/>
      <c r="F55" s="44" t="n"/>
      <c r="G55" s="44" t="n"/>
      <c r="H55" s="45" t="n"/>
      <c r="I55" s="45" t="n"/>
      <c r="J55" s="45" t="n"/>
      <c r="K55" s="45" t="n"/>
      <c r="L55" s="45" t="n"/>
      <c r="M55" s="45" t="n"/>
      <c r="N55" s="45" t="n"/>
      <c r="O55" s="46" t="n"/>
      <c r="P55" s="45" t="n"/>
      <c r="Q55" s="45" t="n"/>
      <c r="R55" s="45" t="str">
        <f>IF(AND(A55="",B55=""),"",IF(A55="","Missing ID",IF(COUNTIF($A:$A,A55)&gt;1,"Duplicate ID",IF(B55="","Missing title",IF(C55="","Missing module",IF(J55="","Missing steps",IF(K55="","Missing expected result",IF(AND(F55=St_Failed,L55=""),"Add actual result","OK"))))))))</f>
        <v/>
      </c>
    </row>
    <row r="56" ht="32" customHeight="1">
      <c r="A56" s="44" t="n"/>
      <c r="B56" s="45" t="n"/>
      <c r="C56" s="45" t="n"/>
      <c r="D56" s="45" t="n"/>
      <c r="E56" s="44" t="n"/>
      <c r="F56" s="44" t="n"/>
      <c r="G56" s="44" t="n"/>
      <c r="H56" s="45" t="n"/>
      <c r="I56" s="45" t="n"/>
      <c r="J56" s="45" t="n"/>
      <c r="K56" s="45" t="n"/>
      <c r="L56" s="45" t="n"/>
      <c r="M56" s="45" t="n"/>
      <c r="N56" s="45" t="n"/>
      <c r="O56" s="46" t="n"/>
      <c r="P56" s="45" t="n"/>
      <c r="Q56" s="45" t="n"/>
      <c r="R56" s="45" t="str">
        <f>IF(AND(A56="",B56=""),"",IF(A56="","Missing ID",IF(COUNTIF($A:$A,A56)&gt;1,"Duplicate ID",IF(B56="","Missing title",IF(C56="","Missing module",IF(J56="","Missing steps",IF(K56="","Missing expected result",IF(AND(F56=St_Failed,L56=""),"Add actual result","OK"))))))))</f>
        <v/>
      </c>
    </row>
    <row r="57" ht="32" customHeight="1">
      <c r="A57" s="44" t="n"/>
      <c r="B57" s="45" t="n"/>
      <c r="C57" s="45" t="n"/>
      <c r="D57" s="45" t="n"/>
      <c r="E57" s="44" t="n"/>
      <c r="F57" s="44" t="n"/>
      <c r="G57" s="44" t="n"/>
      <c r="H57" s="45" t="n"/>
      <c r="I57" s="45" t="n"/>
      <c r="J57" s="45" t="n"/>
      <c r="K57" s="45" t="n"/>
      <c r="L57" s="45" t="n"/>
      <c r="M57" s="45" t="n"/>
      <c r="N57" s="45" t="n"/>
      <c r="O57" s="46" t="n"/>
      <c r="P57" s="45" t="n"/>
      <c r="Q57" s="45" t="n"/>
      <c r="R57" s="45" t="str">
        <f>IF(AND(A57="",B57=""),"",IF(A57="","Missing ID",IF(COUNTIF($A:$A,A57)&gt;1,"Duplicate ID",IF(B57="","Missing title",IF(C57="","Missing module",IF(J57="","Missing steps",IF(K57="","Missing expected result",IF(AND(F57=St_Failed,L57=""),"Add actual result","OK"))))))))</f>
        <v/>
      </c>
    </row>
    <row r="58" ht="32" customHeight="1">
      <c r="A58" s="44" t="n"/>
      <c r="B58" s="45" t="n"/>
      <c r="C58" s="45" t="n"/>
      <c r="D58" s="45" t="n"/>
      <c r="E58" s="44" t="n"/>
      <c r="F58" s="44" t="n"/>
      <c r="G58" s="44" t="n"/>
      <c r="H58" s="45" t="n"/>
      <c r="I58" s="45" t="n"/>
      <c r="J58" s="45" t="n"/>
      <c r="K58" s="45" t="n"/>
      <c r="L58" s="45" t="n"/>
      <c r="M58" s="45" t="n"/>
      <c r="N58" s="45" t="n"/>
      <c r="O58" s="46" t="n"/>
      <c r="P58" s="45" t="n"/>
      <c r="Q58" s="45" t="n"/>
      <c r="R58" s="45" t="str">
        <f>IF(AND(A58="",B58=""),"",IF(A58="","Missing ID",IF(COUNTIF($A:$A,A58)&gt;1,"Duplicate ID",IF(B58="","Missing title",IF(C58="","Missing module",IF(J58="","Missing steps",IF(K58="","Missing expected result",IF(AND(F58=St_Failed,L58=""),"Add actual result","OK"))))))))</f>
        <v/>
      </c>
    </row>
    <row r="59" ht="32" customHeight="1">
      <c r="A59" s="44" t="n"/>
      <c r="B59" s="45" t="n"/>
      <c r="C59" s="45" t="n"/>
      <c r="D59" s="45" t="n"/>
      <c r="E59" s="44" t="n"/>
      <c r="F59" s="44" t="n"/>
      <c r="G59" s="44" t="n"/>
      <c r="H59" s="45" t="n"/>
      <c r="I59" s="45" t="n"/>
      <c r="J59" s="45" t="n"/>
      <c r="K59" s="45" t="n"/>
      <c r="L59" s="45" t="n"/>
      <c r="M59" s="45" t="n"/>
      <c r="N59" s="45" t="n"/>
      <c r="O59" s="46" t="n"/>
      <c r="P59" s="45" t="n"/>
      <c r="Q59" s="45" t="n"/>
      <c r="R59" s="45" t="str">
        <f>IF(AND(A59="",B59=""),"",IF(A59="","Missing ID",IF(COUNTIF($A:$A,A59)&gt;1,"Duplicate ID",IF(B59="","Missing title",IF(C59="","Missing module",IF(J59="","Missing steps",IF(K59="","Missing expected result",IF(AND(F59=St_Failed,L59=""),"Add actual result","OK"))))))))</f>
        <v/>
      </c>
    </row>
    <row r="60" ht="32" customHeight="1">
      <c r="A60" s="44" t="n"/>
      <c r="B60" s="45" t="n"/>
      <c r="C60" s="45" t="n"/>
      <c r="D60" s="45" t="n"/>
      <c r="E60" s="44" t="n"/>
      <c r="F60" s="44" t="n"/>
      <c r="G60" s="44" t="n"/>
      <c r="H60" s="45" t="n"/>
      <c r="I60" s="45" t="n"/>
      <c r="J60" s="45" t="n"/>
      <c r="K60" s="45" t="n"/>
      <c r="L60" s="45" t="n"/>
      <c r="M60" s="45" t="n"/>
      <c r="N60" s="45" t="n"/>
      <c r="O60" s="46" t="n"/>
      <c r="P60" s="45" t="n"/>
      <c r="Q60" s="45" t="n"/>
      <c r="R60" s="45" t="str">
        <f>IF(AND(A60="",B60=""),"",IF(A60="","Missing ID",IF(COUNTIF($A:$A,A60)&gt;1,"Duplicate ID",IF(B60="","Missing title",IF(C60="","Missing module",IF(J60="","Missing steps",IF(K60="","Missing expected result",IF(AND(F60=St_Failed,L60=""),"Add actual result","OK"))))))))</f>
        <v/>
      </c>
    </row>
    <row r="61" ht="32" customHeight="1">
      <c r="A61" s="44" t="n"/>
      <c r="B61" s="45" t="n"/>
      <c r="C61" s="45" t="n"/>
      <c r="D61" s="45" t="n"/>
      <c r="E61" s="44" t="n"/>
      <c r="F61" s="44" t="n"/>
      <c r="G61" s="44" t="n"/>
      <c r="H61" s="45" t="n"/>
      <c r="I61" s="45" t="n"/>
      <c r="J61" s="45" t="n"/>
      <c r="K61" s="45" t="n"/>
      <c r="L61" s="45" t="n"/>
      <c r="M61" s="45" t="n"/>
      <c r="N61" s="45" t="n"/>
      <c r="O61" s="46" t="n"/>
      <c r="P61" s="45" t="n"/>
      <c r="Q61" s="45" t="n"/>
      <c r="R61" s="45" t="str">
        <f>IF(AND(A61="",B61=""),"",IF(A61="","Missing ID",IF(COUNTIF($A:$A,A61)&gt;1,"Duplicate ID",IF(B61="","Missing title",IF(C61="","Missing module",IF(J61="","Missing steps",IF(K61="","Missing expected result",IF(AND(F61=St_Failed,L61=""),"Add actual result","OK"))))))))</f>
        <v/>
      </c>
    </row>
    <row r="62" ht="32" customHeight="1">
      <c r="A62" s="44" t="n"/>
      <c r="B62" s="45" t="n"/>
      <c r="C62" s="45" t="n"/>
      <c r="D62" s="45" t="n"/>
      <c r="E62" s="44" t="n"/>
      <c r="F62" s="44" t="n"/>
      <c r="G62" s="44" t="n"/>
      <c r="H62" s="45" t="n"/>
      <c r="I62" s="45" t="n"/>
      <c r="J62" s="45" t="n"/>
      <c r="K62" s="45" t="n"/>
      <c r="L62" s="45" t="n"/>
      <c r="M62" s="45" t="n"/>
      <c r="N62" s="45" t="n"/>
      <c r="O62" s="46" t="n"/>
      <c r="P62" s="45" t="n"/>
      <c r="Q62" s="45" t="n"/>
      <c r="R62" s="45" t="str">
        <f>IF(AND(A62="",B62=""),"",IF(A62="","Missing ID",IF(COUNTIF($A:$A,A62)&gt;1,"Duplicate ID",IF(B62="","Missing title",IF(C62="","Missing module",IF(J62="","Missing steps",IF(K62="","Missing expected result",IF(AND(F62=St_Failed,L62=""),"Add actual result","OK"))))))))</f>
        <v/>
      </c>
    </row>
    <row r="63" ht="32" customHeight="1">
      <c r="A63" s="44" t="n"/>
      <c r="B63" s="45" t="n"/>
      <c r="C63" s="45" t="n"/>
      <c r="D63" s="45" t="n"/>
      <c r="E63" s="44" t="n"/>
      <c r="F63" s="44" t="n"/>
      <c r="G63" s="44" t="n"/>
      <c r="H63" s="45" t="n"/>
      <c r="I63" s="45" t="n"/>
      <c r="J63" s="45" t="n"/>
      <c r="K63" s="45" t="n"/>
      <c r="L63" s="45" t="n"/>
      <c r="M63" s="45" t="n"/>
      <c r="N63" s="45" t="n"/>
      <c r="O63" s="46" t="n"/>
      <c r="P63" s="45" t="n"/>
      <c r="Q63" s="45" t="n"/>
      <c r="R63" s="45" t="str">
        <f>IF(AND(A63="",B63=""),"",IF(A63="","Missing ID",IF(COUNTIF($A:$A,A63)&gt;1,"Duplicate ID",IF(B63="","Missing title",IF(C63="","Missing module",IF(J63="","Missing steps",IF(K63="","Missing expected result",IF(AND(F63=St_Failed,L63=""),"Add actual result","OK"))))))))</f>
        <v/>
      </c>
    </row>
    <row r="64" ht="32" customHeight="1">
      <c r="A64" s="44" t="n"/>
      <c r="B64" s="45" t="n"/>
      <c r="C64" s="45" t="n"/>
      <c r="D64" s="45" t="n"/>
      <c r="E64" s="44" t="n"/>
      <c r="F64" s="44" t="n"/>
      <c r="G64" s="44" t="n"/>
      <c r="H64" s="45" t="n"/>
      <c r="I64" s="45" t="n"/>
      <c r="J64" s="45" t="n"/>
      <c r="K64" s="45" t="n"/>
      <c r="L64" s="45" t="n"/>
      <c r="M64" s="45" t="n"/>
      <c r="N64" s="45" t="n"/>
      <c r="O64" s="46" t="n"/>
      <c r="P64" s="45" t="n"/>
      <c r="Q64" s="45" t="n"/>
      <c r="R64" s="45" t="str">
        <f>IF(AND(A64="",B64=""),"",IF(A64="","Missing ID",IF(COUNTIF($A:$A,A64)&gt;1,"Duplicate ID",IF(B64="","Missing title",IF(C64="","Missing module",IF(J64="","Missing steps",IF(K64="","Missing expected result",IF(AND(F64=St_Failed,L64=""),"Add actual result","OK"))))))))</f>
        <v/>
      </c>
    </row>
    <row r="65" ht="32" customHeight="1">
      <c r="A65" s="44" t="n"/>
      <c r="B65" s="45" t="n"/>
      <c r="C65" s="45" t="n"/>
      <c r="D65" s="45" t="n"/>
      <c r="E65" s="44" t="n"/>
      <c r="F65" s="44" t="n"/>
      <c r="G65" s="44" t="n"/>
      <c r="H65" s="45" t="n"/>
      <c r="I65" s="45" t="n"/>
      <c r="J65" s="45" t="n"/>
      <c r="K65" s="45" t="n"/>
      <c r="L65" s="45" t="n"/>
      <c r="M65" s="45" t="n"/>
      <c r="N65" s="45" t="n"/>
      <c r="O65" s="46" t="n"/>
      <c r="P65" s="45" t="n"/>
      <c r="Q65" s="45" t="n"/>
      <c r="R65" s="45" t="str">
        <f>IF(AND(A65="",B65=""),"",IF(A65="","Missing ID",IF(COUNTIF($A:$A,A65)&gt;1,"Duplicate ID",IF(B65="","Missing title",IF(C65="","Missing module",IF(J65="","Missing steps",IF(K65="","Missing expected result",IF(AND(F65=St_Failed,L65=""),"Add actual result","OK"))))))))</f>
        <v/>
      </c>
    </row>
    <row r="66" ht="32" customHeight="1">
      <c r="A66" s="44" t="n"/>
      <c r="B66" s="45" t="n"/>
      <c r="C66" s="45" t="n"/>
      <c r="D66" s="45" t="n"/>
      <c r="E66" s="44" t="n"/>
      <c r="F66" s="44" t="n"/>
      <c r="G66" s="44" t="n"/>
      <c r="H66" s="45" t="n"/>
      <c r="I66" s="45" t="n"/>
      <c r="J66" s="45" t="n"/>
      <c r="K66" s="45" t="n"/>
      <c r="L66" s="45" t="n"/>
      <c r="M66" s="45" t="n"/>
      <c r="N66" s="45" t="n"/>
      <c r="O66" s="46" t="n"/>
      <c r="P66" s="45" t="n"/>
      <c r="Q66" s="45" t="n"/>
      <c r="R66" s="45" t="str">
        <f>IF(AND(A66="",B66=""),"",IF(A66="","Missing ID",IF(COUNTIF($A:$A,A66)&gt;1,"Duplicate ID",IF(B66="","Missing title",IF(C66="","Missing module",IF(J66="","Missing steps",IF(K66="","Missing expected result",IF(AND(F66=St_Failed,L66=""),"Add actual result","OK"))))))))</f>
        <v/>
      </c>
    </row>
    <row r="67" ht="32" customHeight="1">
      <c r="A67" s="44" t="n"/>
      <c r="B67" s="45" t="n"/>
      <c r="C67" s="45" t="n"/>
      <c r="D67" s="45" t="n"/>
      <c r="E67" s="44" t="n"/>
      <c r="F67" s="44" t="n"/>
      <c r="G67" s="44" t="n"/>
      <c r="H67" s="45" t="n"/>
      <c r="I67" s="45" t="n"/>
      <c r="J67" s="45" t="n"/>
      <c r="K67" s="45" t="n"/>
      <c r="L67" s="45" t="n"/>
      <c r="M67" s="45" t="n"/>
      <c r="N67" s="45" t="n"/>
      <c r="O67" s="46" t="n"/>
      <c r="P67" s="45" t="n"/>
      <c r="Q67" s="45" t="n"/>
      <c r="R67" s="45" t="str">
        <f>IF(AND(A67="",B67=""),"",IF(A67="","Missing ID",IF(COUNTIF($A:$A,A67)&gt;1,"Duplicate ID",IF(B67="","Missing title",IF(C67="","Missing module",IF(J67="","Missing steps",IF(K67="","Missing expected result",IF(AND(F67=St_Failed,L67=""),"Add actual result","OK"))))))))</f>
        <v/>
      </c>
    </row>
    <row r="68" ht="32" customHeight="1">
      <c r="A68" s="44" t="n"/>
      <c r="B68" s="45" t="n"/>
      <c r="C68" s="45" t="n"/>
      <c r="D68" s="45" t="n"/>
      <c r="E68" s="44" t="n"/>
      <c r="F68" s="44" t="n"/>
      <c r="G68" s="44" t="n"/>
      <c r="H68" s="45" t="n"/>
      <c r="I68" s="45" t="n"/>
      <c r="J68" s="45" t="n"/>
      <c r="K68" s="45" t="n"/>
      <c r="L68" s="45" t="n"/>
      <c r="M68" s="45" t="n"/>
      <c r="N68" s="45" t="n"/>
      <c r="O68" s="46" t="n"/>
      <c r="P68" s="45" t="n"/>
      <c r="Q68" s="45" t="n"/>
      <c r="R68" s="45" t="str">
        <f>IF(AND(A68="",B68=""),"",IF(A68="","Missing ID",IF(COUNTIF($A:$A,A68)&gt;1,"Duplicate ID",IF(B68="","Missing title",IF(C68="","Missing module",IF(J68="","Missing steps",IF(K68="","Missing expected result",IF(AND(F68=St_Failed,L68=""),"Add actual result","OK"))))))))</f>
        <v/>
      </c>
    </row>
    <row r="69" ht="32" customHeight="1">
      <c r="A69" s="44" t="n"/>
      <c r="B69" s="45" t="n"/>
      <c r="C69" s="45" t="n"/>
      <c r="D69" s="45" t="n"/>
      <c r="E69" s="44" t="n"/>
      <c r="F69" s="44" t="n"/>
      <c r="G69" s="44" t="n"/>
      <c r="H69" s="45" t="n"/>
      <c r="I69" s="45" t="n"/>
      <c r="J69" s="45" t="n"/>
      <c r="K69" s="45" t="n"/>
      <c r="L69" s="45" t="n"/>
      <c r="M69" s="45" t="n"/>
      <c r="N69" s="45" t="n"/>
      <c r="O69" s="46" t="n"/>
      <c r="P69" s="45" t="n"/>
      <c r="Q69" s="45" t="n"/>
      <c r="R69" s="45" t="str">
        <f>IF(AND(A69="",B69=""),"",IF(A69="","Missing ID",IF(COUNTIF($A:$A,A69)&gt;1,"Duplicate ID",IF(B69="","Missing title",IF(C69="","Missing module",IF(J69="","Missing steps",IF(K69="","Missing expected result",IF(AND(F69=St_Failed,L69=""),"Add actual result","OK"))))))))</f>
        <v/>
      </c>
    </row>
    <row r="70" ht="32" customHeight="1">
      <c r="A70" s="44" t="n"/>
      <c r="B70" s="45" t="n"/>
      <c r="C70" s="45" t="n"/>
      <c r="D70" s="45" t="n"/>
      <c r="E70" s="44" t="n"/>
      <c r="F70" s="44" t="n"/>
      <c r="G70" s="44" t="n"/>
      <c r="H70" s="45" t="n"/>
      <c r="I70" s="45" t="n"/>
      <c r="J70" s="45" t="n"/>
      <c r="K70" s="45" t="n"/>
      <c r="L70" s="45" t="n"/>
      <c r="M70" s="45" t="n"/>
      <c r="N70" s="45" t="n"/>
      <c r="O70" s="46" t="n"/>
      <c r="P70" s="45" t="n"/>
      <c r="Q70" s="45" t="n"/>
      <c r="R70" s="45" t="str">
        <f>IF(AND(A70="",B70=""),"",IF(A70="","Missing ID",IF(COUNTIF($A:$A,A70)&gt;1,"Duplicate ID",IF(B70="","Missing title",IF(C70="","Missing module",IF(J70="","Missing steps",IF(K70="","Missing expected result",IF(AND(F70=St_Failed,L70=""),"Add actual result","OK"))))))))</f>
        <v/>
      </c>
    </row>
    <row r="71" ht="32" customHeight="1">
      <c r="A71" s="44" t="n"/>
      <c r="B71" s="45" t="n"/>
      <c r="C71" s="45" t="n"/>
      <c r="D71" s="45" t="n"/>
      <c r="E71" s="44" t="n"/>
      <c r="F71" s="44" t="n"/>
      <c r="G71" s="44" t="n"/>
      <c r="H71" s="45" t="n"/>
      <c r="I71" s="45" t="n"/>
      <c r="J71" s="45" t="n"/>
      <c r="K71" s="45" t="n"/>
      <c r="L71" s="45" t="n"/>
      <c r="M71" s="45" t="n"/>
      <c r="N71" s="45" t="n"/>
      <c r="O71" s="46" t="n"/>
      <c r="P71" s="45" t="n"/>
      <c r="Q71" s="45" t="n"/>
      <c r="R71" s="45" t="str">
        <f>IF(AND(A71="",B71=""),"",IF(A71="","Missing ID",IF(COUNTIF($A:$A,A71)&gt;1,"Duplicate ID",IF(B71="","Missing title",IF(C71="","Missing module",IF(J71="","Missing steps",IF(K71="","Missing expected result",IF(AND(F71=St_Failed,L71=""),"Add actual result","OK"))))))))</f>
        <v/>
      </c>
    </row>
    <row r="72" ht="32" customHeight="1">
      <c r="A72" s="44" t="n"/>
      <c r="B72" s="45" t="n"/>
      <c r="C72" s="45" t="n"/>
      <c r="D72" s="45" t="n"/>
      <c r="E72" s="44" t="n"/>
      <c r="F72" s="44" t="n"/>
      <c r="G72" s="44" t="n"/>
      <c r="H72" s="45" t="n"/>
      <c r="I72" s="45" t="n"/>
      <c r="J72" s="45" t="n"/>
      <c r="K72" s="45" t="n"/>
      <c r="L72" s="45" t="n"/>
      <c r="M72" s="45" t="n"/>
      <c r="N72" s="45" t="n"/>
      <c r="O72" s="46" t="n"/>
      <c r="P72" s="45" t="n"/>
      <c r="Q72" s="45" t="n"/>
      <c r="R72" s="45" t="str">
        <f>IF(AND(A72="",B72=""),"",IF(A72="","Missing ID",IF(COUNTIF($A:$A,A72)&gt;1,"Duplicate ID",IF(B72="","Missing title",IF(C72="","Missing module",IF(J72="","Missing steps",IF(K72="","Missing expected result",IF(AND(F72=St_Failed,L72=""),"Add actual result","OK"))))))))</f>
        <v/>
      </c>
    </row>
    <row r="73" ht="32" customHeight="1">
      <c r="A73" s="44" t="n"/>
      <c r="B73" s="45" t="n"/>
      <c r="C73" s="45" t="n"/>
      <c r="D73" s="45" t="n"/>
      <c r="E73" s="44" t="n"/>
      <c r="F73" s="44" t="n"/>
      <c r="G73" s="44" t="n"/>
      <c r="H73" s="45" t="n"/>
      <c r="I73" s="45" t="n"/>
      <c r="J73" s="45" t="n"/>
      <c r="K73" s="45" t="n"/>
      <c r="L73" s="45" t="n"/>
      <c r="M73" s="45" t="n"/>
      <c r="N73" s="45" t="n"/>
      <c r="O73" s="46" t="n"/>
      <c r="P73" s="45" t="n"/>
      <c r="Q73" s="45" t="n"/>
      <c r="R73" s="45" t="str">
        <f>IF(AND(A73="",B73=""),"",IF(A73="","Missing ID",IF(COUNTIF($A:$A,A73)&gt;1,"Duplicate ID",IF(B73="","Missing title",IF(C73="","Missing module",IF(J73="","Missing steps",IF(K73="","Missing expected result",IF(AND(F73=St_Failed,L73=""),"Add actual result","OK"))))))))</f>
        <v/>
      </c>
    </row>
    <row r="74" ht="32" customHeight="1">
      <c r="A74" s="44" t="n"/>
      <c r="B74" s="45" t="n"/>
      <c r="C74" s="45" t="n"/>
      <c r="D74" s="45" t="n"/>
      <c r="E74" s="44" t="n"/>
      <c r="F74" s="44" t="n"/>
      <c r="G74" s="44" t="n"/>
      <c r="H74" s="45" t="n"/>
      <c r="I74" s="45" t="n"/>
      <c r="J74" s="45" t="n"/>
      <c r="K74" s="45" t="n"/>
      <c r="L74" s="45" t="n"/>
      <c r="M74" s="45" t="n"/>
      <c r="N74" s="45" t="n"/>
      <c r="O74" s="46" t="n"/>
      <c r="P74" s="45" t="n"/>
      <c r="Q74" s="45" t="n"/>
      <c r="R74" s="45" t="str">
        <f>IF(AND(A74="",B74=""),"",IF(A74="","Missing ID",IF(COUNTIF($A:$A,A74)&gt;1,"Duplicate ID",IF(B74="","Missing title",IF(C74="","Missing module",IF(J74="","Missing steps",IF(K74="","Missing expected result",IF(AND(F74=St_Failed,L74=""),"Add actual result","OK"))))))))</f>
        <v/>
      </c>
    </row>
    <row r="75" ht="32" customHeight="1">
      <c r="A75" s="44" t="n"/>
      <c r="B75" s="45" t="n"/>
      <c r="C75" s="45" t="n"/>
      <c r="D75" s="45" t="n"/>
      <c r="E75" s="44" t="n"/>
      <c r="F75" s="44" t="n"/>
      <c r="G75" s="44" t="n"/>
      <c r="H75" s="45" t="n"/>
      <c r="I75" s="45" t="n"/>
      <c r="J75" s="45" t="n"/>
      <c r="K75" s="45" t="n"/>
      <c r="L75" s="45" t="n"/>
      <c r="M75" s="45" t="n"/>
      <c r="N75" s="45" t="n"/>
      <c r="O75" s="46" t="n"/>
      <c r="P75" s="45" t="n"/>
      <c r="Q75" s="45" t="n"/>
      <c r="R75" s="45" t="str">
        <f>IF(AND(A75="",B75=""),"",IF(A75="","Missing ID",IF(COUNTIF($A:$A,A75)&gt;1,"Duplicate ID",IF(B75="","Missing title",IF(C75="","Missing module",IF(J75="","Missing steps",IF(K75="","Missing expected result",IF(AND(F75=St_Failed,L75=""),"Add actual result","OK"))))))))</f>
        <v/>
      </c>
    </row>
    <row r="76" ht="32" customHeight="1">
      <c r="A76" s="44" t="n"/>
      <c r="B76" s="45" t="n"/>
      <c r="C76" s="45" t="n"/>
      <c r="D76" s="45" t="n"/>
      <c r="E76" s="44" t="n"/>
      <c r="F76" s="44" t="n"/>
      <c r="G76" s="44" t="n"/>
      <c r="H76" s="45" t="n"/>
      <c r="I76" s="45" t="n"/>
      <c r="J76" s="45" t="n"/>
      <c r="K76" s="45" t="n"/>
      <c r="L76" s="45" t="n"/>
      <c r="M76" s="45" t="n"/>
      <c r="N76" s="45" t="n"/>
      <c r="O76" s="46" t="n"/>
      <c r="P76" s="45" t="n"/>
      <c r="Q76" s="45" t="n"/>
      <c r="R76" s="45" t="str">
        <f>IF(AND(A76="",B76=""),"",IF(A76="","Missing ID",IF(COUNTIF($A:$A,A76)&gt;1,"Duplicate ID",IF(B76="","Missing title",IF(C76="","Missing module",IF(J76="","Missing steps",IF(K76="","Missing expected result",IF(AND(F76=St_Failed,L76=""),"Add actual result","OK"))))))))</f>
        <v/>
      </c>
    </row>
    <row r="77" ht="32" customHeight="1">
      <c r="A77" s="44" t="n"/>
      <c r="B77" s="45" t="n"/>
      <c r="C77" s="45" t="n"/>
      <c r="D77" s="45" t="n"/>
      <c r="E77" s="44" t="n"/>
      <c r="F77" s="44" t="n"/>
      <c r="G77" s="44" t="n"/>
      <c r="H77" s="45" t="n"/>
      <c r="I77" s="45" t="n"/>
      <c r="J77" s="45" t="n"/>
      <c r="K77" s="45" t="n"/>
      <c r="L77" s="45" t="n"/>
      <c r="M77" s="45" t="n"/>
      <c r="N77" s="45" t="n"/>
      <c r="O77" s="46" t="n"/>
      <c r="P77" s="45" t="n"/>
      <c r="Q77" s="45" t="n"/>
      <c r="R77" s="45" t="str">
        <f>IF(AND(A77="",B77=""),"",IF(A77="","Missing ID",IF(COUNTIF($A:$A,A77)&gt;1,"Duplicate ID",IF(B77="","Missing title",IF(C77="","Missing module",IF(J77="","Missing steps",IF(K77="","Missing expected result",IF(AND(F77=St_Failed,L77=""),"Add actual result","OK"))))))))</f>
        <v/>
      </c>
    </row>
    <row r="78" ht="32" customHeight="1">
      <c r="A78" s="44" t="n"/>
      <c r="B78" s="45" t="n"/>
      <c r="C78" s="45" t="n"/>
      <c r="D78" s="45" t="n"/>
      <c r="E78" s="44" t="n"/>
      <c r="F78" s="44" t="n"/>
      <c r="G78" s="44" t="n"/>
      <c r="H78" s="45" t="n"/>
      <c r="I78" s="45" t="n"/>
      <c r="J78" s="45" t="n"/>
      <c r="K78" s="45" t="n"/>
      <c r="L78" s="45" t="n"/>
      <c r="M78" s="45" t="n"/>
      <c r="N78" s="45" t="n"/>
      <c r="O78" s="46" t="n"/>
      <c r="P78" s="45" t="n"/>
      <c r="Q78" s="45" t="n"/>
      <c r="R78" s="45" t="str">
        <f>IF(AND(A78="",B78=""),"",IF(A78="","Missing ID",IF(COUNTIF($A:$A,A78)&gt;1,"Duplicate ID",IF(B78="","Missing title",IF(C78="","Missing module",IF(J78="","Missing steps",IF(K78="","Missing expected result",IF(AND(F78=St_Failed,L78=""),"Add actual result","OK"))))))))</f>
        <v/>
      </c>
    </row>
    <row r="79" ht="32" customHeight="1">
      <c r="A79" s="44" t="n"/>
      <c r="B79" s="45" t="n"/>
      <c r="C79" s="45" t="n"/>
      <c r="D79" s="45" t="n"/>
      <c r="E79" s="44" t="n"/>
      <c r="F79" s="44" t="n"/>
      <c r="G79" s="44" t="n"/>
      <c r="H79" s="45" t="n"/>
      <c r="I79" s="45" t="n"/>
      <c r="J79" s="45" t="n"/>
      <c r="K79" s="45" t="n"/>
      <c r="L79" s="45" t="n"/>
      <c r="M79" s="45" t="n"/>
      <c r="N79" s="45" t="n"/>
      <c r="O79" s="46" t="n"/>
      <c r="P79" s="45" t="n"/>
      <c r="Q79" s="45" t="n"/>
      <c r="R79" s="45" t="str">
        <f>IF(AND(A79="",B79=""),"",IF(A79="","Missing ID",IF(COUNTIF($A:$A,A79)&gt;1,"Duplicate ID",IF(B79="","Missing title",IF(C79="","Missing module",IF(J79="","Missing steps",IF(K79="","Missing expected result",IF(AND(F79=St_Failed,L79=""),"Add actual result","OK"))))))))</f>
        <v/>
      </c>
    </row>
    <row r="80" ht="32" customHeight="1">
      <c r="A80" s="44" t="n"/>
      <c r="B80" s="45" t="n"/>
      <c r="C80" s="45" t="n"/>
      <c r="D80" s="45" t="n"/>
      <c r="E80" s="44" t="n"/>
      <c r="F80" s="44" t="n"/>
      <c r="G80" s="44" t="n"/>
      <c r="H80" s="45" t="n"/>
      <c r="I80" s="45" t="n"/>
      <c r="J80" s="45" t="n"/>
      <c r="K80" s="45" t="n"/>
      <c r="L80" s="45" t="n"/>
      <c r="M80" s="45" t="n"/>
      <c r="N80" s="45" t="n"/>
      <c r="O80" s="46" t="n"/>
      <c r="P80" s="45" t="n"/>
      <c r="Q80" s="45" t="n"/>
      <c r="R80" s="45" t="str">
        <f>IF(AND(A80="",B80=""),"",IF(A80="","Missing ID",IF(COUNTIF($A:$A,A80)&gt;1,"Duplicate ID",IF(B80="","Missing title",IF(C80="","Missing module",IF(J80="","Missing steps",IF(K80="","Missing expected result",IF(AND(F80=St_Failed,L80=""),"Add actual result","OK"))))))))</f>
        <v/>
      </c>
    </row>
    <row r="81" ht="32" customHeight="1">
      <c r="A81" s="44" t="n"/>
      <c r="B81" s="45" t="n"/>
      <c r="C81" s="45" t="n"/>
      <c r="D81" s="45" t="n"/>
      <c r="E81" s="44" t="n"/>
      <c r="F81" s="44" t="n"/>
      <c r="G81" s="44" t="n"/>
      <c r="H81" s="45" t="n"/>
      <c r="I81" s="45" t="n"/>
      <c r="J81" s="45" t="n"/>
      <c r="K81" s="45" t="n"/>
      <c r="L81" s="45" t="n"/>
      <c r="M81" s="45" t="n"/>
      <c r="N81" s="45" t="n"/>
      <c r="O81" s="46" t="n"/>
      <c r="P81" s="45" t="n"/>
      <c r="Q81" s="45" t="n"/>
      <c r="R81" s="45" t="str">
        <f>IF(AND(A81="",B81=""),"",IF(A81="","Missing ID",IF(COUNTIF($A:$A,A81)&gt;1,"Duplicate ID",IF(B81="","Missing title",IF(C81="","Missing module",IF(J81="","Missing steps",IF(K81="","Missing expected result",IF(AND(F81=St_Failed,L81=""),"Add actual result","OK"))))))))</f>
        <v/>
      </c>
    </row>
    <row r="82" ht="32" customHeight="1">
      <c r="A82" s="44" t="n"/>
      <c r="B82" s="45" t="n"/>
      <c r="C82" s="45" t="n"/>
      <c r="D82" s="45" t="n"/>
      <c r="E82" s="44" t="n"/>
      <c r="F82" s="44" t="n"/>
      <c r="G82" s="44" t="n"/>
      <c r="H82" s="45" t="n"/>
      <c r="I82" s="45" t="n"/>
      <c r="J82" s="45" t="n"/>
      <c r="K82" s="45" t="n"/>
      <c r="L82" s="45" t="n"/>
      <c r="M82" s="45" t="n"/>
      <c r="N82" s="45" t="n"/>
      <c r="O82" s="46" t="n"/>
      <c r="P82" s="45" t="n"/>
      <c r="Q82" s="45" t="n"/>
      <c r="R82" s="45" t="str">
        <f>IF(AND(A82="",B82=""),"",IF(A82="","Missing ID",IF(COUNTIF($A:$A,A82)&gt;1,"Duplicate ID",IF(B82="","Missing title",IF(C82="","Missing module",IF(J82="","Missing steps",IF(K82="","Missing expected result",IF(AND(F82=St_Failed,L82=""),"Add actual result","OK"))))))))</f>
        <v/>
      </c>
    </row>
    <row r="83" ht="32" customHeight="1">
      <c r="A83" s="44" t="n"/>
      <c r="B83" s="45" t="n"/>
      <c r="C83" s="45" t="n"/>
      <c r="D83" s="45" t="n"/>
      <c r="E83" s="44" t="n"/>
      <c r="F83" s="44" t="n"/>
      <c r="G83" s="44" t="n"/>
      <c r="H83" s="45" t="n"/>
      <c r="I83" s="45" t="n"/>
      <c r="J83" s="45" t="n"/>
      <c r="K83" s="45" t="n"/>
      <c r="L83" s="45" t="n"/>
      <c r="M83" s="45" t="n"/>
      <c r="N83" s="45" t="n"/>
      <c r="O83" s="46" t="n"/>
      <c r="P83" s="45" t="n"/>
      <c r="Q83" s="45" t="n"/>
      <c r="R83" s="45" t="str">
        <f>IF(AND(A83="",B83=""),"",IF(A83="","Missing ID",IF(COUNTIF($A:$A,A83)&gt;1,"Duplicate ID",IF(B83="","Missing title",IF(C83="","Missing module",IF(J83="","Missing steps",IF(K83="","Missing expected result",IF(AND(F83=St_Failed,L83=""),"Add actual result","OK"))))))))</f>
        <v/>
      </c>
    </row>
    <row r="84" ht="32" customHeight="1">
      <c r="A84" s="44" t="n"/>
      <c r="B84" s="45" t="n"/>
      <c r="C84" s="45" t="n"/>
      <c r="D84" s="45" t="n"/>
      <c r="E84" s="44" t="n"/>
      <c r="F84" s="44" t="n"/>
      <c r="G84" s="44" t="n"/>
      <c r="H84" s="45" t="n"/>
      <c r="I84" s="45" t="n"/>
      <c r="J84" s="45" t="n"/>
      <c r="K84" s="45" t="n"/>
      <c r="L84" s="45" t="n"/>
      <c r="M84" s="45" t="n"/>
      <c r="N84" s="45" t="n"/>
      <c r="O84" s="46" t="n"/>
      <c r="P84" s="45" t="n"/>
      <c r="Q84" s="45" t="n"/>
      <c r="R84" s="45" t="str">
        <f>IF(AND(A84="",B84=""),"",IF(A84="","Missing ID",IF(COUNTIF($A:$A,A84)&gt;1,"Duplicate ID",IF(B84="","Missing title",IF(C84="","Missing module",IF(J84="","Missing steps",IF(K84="","Missing expected result",IF(AND(F84=St_Failed,L84=""),"Add actual result","OK"))))))))</f>
        <v/>
      </c>
    </row>
    <row r="85" ht="32" customHeight="1">
      <c r="A85" s="44" t="n"/>
      <c r="B85" s="45" t="n"/>
      <c r="C85" s="45" t="n"/>
      <c r="D85" s="45" t="n"/>
      <c r="E85" s="44" t="n"/>
      <c r="F85" s="44" t="n"/>
      <c r="G85" s="44" t="n"/>
      <c r="H85" s="45" t="n"/>
      <c r="I85" s="45" t="n"/>
      <c r="J85" s="45" t="n"/>
      <c r="K85" s="45" t="n"/>
      <c r="L85" s="45" t="n"/>
      <c r="M85" s="45" t="n"/>
      <c r="N85" s="45" t="n"/>
      <c r="O85" s="46" t="n"/>
      <c r="P85" s="45" t="n"/>
      <c r="Q85" s="45" t="n"/>
      <c r="R85" s="45" t="str">
        <f>IF(AND(A85="",B85=""),"",IF(A85="","Missing ID",IF(COUNTIF($A:$A,A85)&gt;1,"Duplicate ID",IF(B85="","Missing title",IF(C85="","Missing module",IF(J85="","Missing steps",IF(K85="","Missing expected result",IF(AND(F85=St_Failed,L85=""),"Add actual result","OK"))))))))</f>
        <v/>
      </c>
    </row>
    <row r="86" ht="32" customHeight="1">
      <c r="A86" s="44" t="n"/>
      <c r="B86" s="45" t="n"/>
      <c r="C86" s="45" t="n"/>
      <c r="D86" s="45" t="n"/>
      <c r="E86" s="44" t="n"/>
      <c r="F86" s="44" t="n"/>
      <c r="G86" s="44" t="n"/>
      <c r="H86" s="45" t="n"/>
      <c r="I86" s="45" t="n"/>
      <c r="J86" s="45" t="n"/>
      <c r="K86" s="45" t="n"/>
      <c r="L86" s="45" t="n"/>
      <c r="M86" s="45" t="n"/>
      <c r="N86" s="45" t="n"/>
      <c r="O86" s="46" t="n"/>
      <c r="P86" s="45" t="n"/>
      <c r="Q86" s="45" t="n"/>
      <c r="R86" s="45" t="str">
        <f>IF(AND(A86="",B86=""),"",IF(A86="","Missing ID",IF(COUNTIF($A:$A,A86)&gt;1,"Duplicate ID",IF(B86="","Missing title",IF(C86="","Missing module",IF(J86="","Missing steps",IF(K86="","Missing expected result",IF(AND(F86=St_Failed,L86=""),"Add actual result","OK"))))))))</f>
        <v/>
      </c>
    </row>
    <row r="87" ht="32" customHeight="1">
      <c r="A87" s="44" t="n"/>
      <c r="B87" s="45" t="n"/>
      <c r="C87" s="45" t="n"/>
      <c r="D87" s="45" t="n"/>
      <c r="E87" s="44" t="n"/>
      <c r="F87" s="44" t="n"/>
      <c r="G87" s="44" t="n"/>
      <c r="H87" s="45" t="n"/>
      <c r="I87" s="45" t="n"/>
      <c r="J87" s="45" t="n"/>
      <c r="K87" s="45" t="n"/>
      <c r="L87" s="45" t="n"/>
      <c r="M87" s="45" t="n"/>
      <c r="N87" s="45" t="n"/>
      <c r="O87" s="46" t="n"/>
      <c r="P87" s="45" t="n"/>
      <c r="Q87" s="45" t="n"/>
      <c r="R87" s="45" t="str">
        <f>IF(AND(A87="",B87=""),"",IF(A87="","Missing ID",IF(COUNTIF($A:$A,A87)&gt;1,"Duplicate ID",IF(B87="","Missing title",IF(C87="","Missing module",IF(J87="","Missing steps",IF(K87="","Missing expected result",IF(AND(F87=St_Failed,L87=""),"Add actual result","OK"))))))))</f>
        <v/>
      </c>
    </row>
    <row r="88" ht="32" customHeight="1">
      <c r="A88" s="44" t="n"/>
      <c r="B88" s="45" t="n"/>
      <c r="C88" s="45" t="n"/>
      <c r="D88" s="45" t="n"/>
      <c r="E88" s="44" t="n"/>
      <c r="F88" s="44" t="n"/>
      <c r="G88" s="44" t="n"/>
      <c r="H88" s="45" t="n"/>
      <c r="I88" s="45" t="n"/>
      <c r="J88" s="45" t="n"/>
      <c r="K88" s="45" t="n"/>
      <c r="L88" s="45" t="n"/>
      <c r="M88" s="45" t="n"/>
      <c r="N88" s="45" t="n"/>
      <c r="O88" s="46" t="n"/>
      <c r="P88" s="45" t="n"/>
      <c r="Q88" s="45" t="n"/>
      <c r="R88" s="45" t="str">
        <f>IF(AND(A88="",B88=""),"",IF(A88="","Missing ID",IF(COUNTIF($A:$A,A88)&gt;1,"Duplicate ID",IF(B88="","Missing title",IF(C88="","Missing module",IF(J88="","Missing steps",IF(K88="","Missing expected result",IF(AND(F88=St_Failed,L88=""),"Add actual result","OK"))))))))</f>
        <v/>
      </c>
    </row>
    <row r="89" ht="32" customHeight="1">
      <c r="A89" s="44" t="n"/>
      <c r="B89" s="45" t="n"/>
      <c r="C89" s="45" t="n"/>
      <c r="D89" s="45" t="n"/>
      <c r="E89" s="44" t="n"/>
      <c r="F89" s="44" t="n"/>
      <c r="G89" s="44" t="n"/>
      <c r="H89" s="45" t="n"/>
      <c r="I89" s="45" t="n"/>
      <c r="J89" s="45" t="n"/>
      <c r="K89" s="45" t="n"/>
      <c r="L89" s="45" t="n"/>
      <c r="M89" s="45" t="n"/>
      <c r="N89" s="45" t="n"/>
      <c r="O89" s="46" t="n"/>
      <c r="P89" s="45" t="n"/>
      <c r="Q89" s="45" t="n"/>
      <c r="R89" s="45" t="str">
        <f>IF(AND(A89="",B89=""),"",IF(A89="","Missing ID",IF(COUNTIF($A:$A,A89)&gt;1,"Duplicate ID",IF(B89="","Missing title",IF(C89="","Missing module",IF(J89="","Missing steps",IF(K89="","Missing expected result",IF(AND(F89=St_Failed,L89=""),"Add actual result","OK"))))))))</f>
        <v/>
      </c>
    </row>
    <row r="90" ht="32" customHeight="1">
      <c r="A90" s="44" t="n"/>
      <c r="B90" s="45" t="n"/>
      <c r="C90" s="45" t="n"/>
      <c r="D90" s="45" t="n"/>
      <c r="E90" s="44" t="n"/>
      <c r="F90" s="44" t="n"/>
      <c r="G90" s="44" t="n"/>
      <c r="H90" s="45" t="n"/>
      <c r="I90" s="45" t="n"/>
      <c r="J90" s="45" t="n"/>
      <c r="K90" s="45" t="n"/>
      <c r="L90" s="45" t="n"/>
      <c r="M90" s="45" t="n"/>
      <c r="N90" s="45" t="n"/>
      <c r="O90" s="46" t="n"/>
      <c r="P90" s="45" t="n"/>
      <c r="Q90" s="45" t="n"/>
      <c r="R90" s="45" t="str">
        <f>IF(AND(A90="",B90=""),"",IF(A90="","Missing ID",IF(COUNTIF($A:$A,A90)&gt;1,"Duplicate ID",IF(B90="","Missing title",IF(C90="","Missing module",IF(J90="","Missing steps",IF(K90="","Missing expected result",IF(AND(F90=St_Failed,L90=""),"Add actual result","OK"))))))))</f>
        <v/>
      </c>
    </row>
    <row r="91" ht="32" customHeight="1">
      <c r="A91" s="44" t="n"/>
      <c r="B91" s="45" t="n"/>
      <c r="C91" s="45" t="n"/>
      <c r="D91" s="45" t="n"/>
      <c r="E91" s="44" t="n"/>
      <c r="F91" s="44" t="n"/>
      <c r="G91" s="44" t="n"/>
      <c r="H91" s="45" t="n"/>
      <c r="I91" s="45" t="n"/>
      <c r="J91" s="45" t="n"/>
      <c r="K91" s="45" t="n"/>
      <c r="L91" s="45" t="n"/>
      <c r="M91" s="45" t="n"/>
      <c r="N91" s="45" t="n"/>
      <c r="O91" s="46" t="n"/>
      <c r="P91" s="45" t="n"/>
      <c r="Q91" s="45" t="n"/>
      <c r="R91" s="45" t="str">
        <f>IF(AND(A91="",B91=""),"",IF(A91="","Missing ID",IF(COUNTIF($A:$A,A91)&gt;1,"Duplicate ID",IF(B91="","Missing title",IF(C91="","Missing module",IF(J91="","Missing steps",IF(K91="","Missing expected result",IF(AND(F91=St_Failed,L91=""),"Add actual result","OK"))))))))</f>
        <v/>
      </c>
    </row>
    <row r="92" ht="32" customHeight="1">
      <c r="A92" s="44" t="n"/>
      <c r="B92" s="45" t="n"/>
      <c r="C92" s="45" t="n"/>
      <c r="D92" s="45" t="n"/>
      <c r="E92" s="44" t="n"/>
      <c r="F92" s="44" t="n"/>
      <c r="G92" s="44" t="n"/>
      <c r="H92" s="45" t="n"/>
      <c r="I92" s="45" t="n"/>
      <c r="J92" s="45" t="n"/>
      <c r="K92" s="45" t="n"/>
      <c r="L92" s="45" t="n"/>
      <c r="M92" s="45" t="n"/>
      <c r="N92" s="45" t="n"/>
      <c r="O92" s="46" t="n"/>
      <c r="P92" s="45" t="n"/>
      <c r="Q92" s="45" t="n"/>
      <c r="R92" s="45" t="str">
        <f>IF(AND(A92="",B92=""),"",IF(A92="","Missing ID",IF(COUNTIF($A:$A,A92)&gt;1,"Duplicate ID",IF(B92="","Missing title",IF(C92="","Missing module",IF(J92="","Missing steps",IF(K92="","Missing expected result",IF(AND(F92=St_Failed,L92=""),"Add actual result","OK"))))))))</f>
        <v/>
      </c>
    </row>
    <row r="93" ht="32" customHeight="1">
      <c r="A93" s="44" t="n"/>
      <c r="B93" s="45" t="n"/>
      <c r="C93" s="45" t="n"/>
      <c r="D93" s="45" t="n"/>
      <c r="E93" s="44" t="n"/>
      <c r="F93" s="44" t="n"/>
      <c r="G93" s="44" t="n"/>
      <c r="H93" s="45" t="n"/>
      <c r="I93" s="45" t="n"/>
      <c r="J93" s="45" t="n"/>
      <c r="K93" s="45" t="n"/>
      <c r="L93" s="45" t="n"/>
      <c r="M93" s="45" t="n"/>
      <c r="N93" s="45" t="n"/>
      <c r="O93" s="46" t="n"/>
      <c r="P93" s="45" t="n"/>
      <c r="Q93" s="45" t="n"/>
      <c r="R93" s="45" t="str">
        <f>IF(AND(A93="",B93=""),"",IF(A93="","Missing ID",IF(COUNTIF($A:$A,A93)&gt;1,"Duplicate ID",IF(B93="","Missing title",IF(C93="","Missing module",IF(J93="","Missing steps",IF(K93="","Missing expected result",IF(AND(F93=St_Failed,L93=""),"Add actual result","OK"))))))))</f>
        <v/>
      </c>
    </row>
    <row r="94" ht="32" customHeight="1">
      <c r="A94" s="44" t="n"/>
      <c r="B94" s="45" t="n"/>
      <c r="C94" s="45" t="n"/>
      <c r="D94" s="45" t="n"/>
      <c r="E94" s="44" t="n"/>
      <c r="F94" s="44" t="n"/>
      <c r="G94" s="44" t="n"/>
      <c r="H94" s="45" t="n"/>
      <c r="I94" s="45" t="n"/>
      <c r="J94" s="45" t="n"/>
      <c r="K94" s="45" t="n"/>
      <c r="L94" s="45" t="n"/>
      <c r="M94" s="45" t="n"/>
      <c r="N94" s="45" t="n"/>
      <c r="O94" s="46" t="n"/>
      <c r="P94" s="45" t="n"/>
      <c r="Q94" s="45" t="n"/>
      <c r="R94" s="45" t="str">
        <f>IF(AND(A94="",B94=""),"",IF(A94="","Missing ID",IF(COUNTIF($A:$A,A94)&gt;1,"Duplicate ID",IF(B94="","Missing title",IF(C94="","Missing module",IF(J94="","Missing steps",IF(K94="","Missing expected result",IF(AND(F94=St_Failed,L94=""),"Add actual result","OK"))))))))</f>
        <v/>
      </c>
    </row>
    <row r="95" ht="32" customHeight="1">
      <c r="A95" s="44" t="n"/>
      <c r="B95" s="45" t="n"/>
      <c r="C95" s="45" t="n"/>
      <c r="D95" s="45" t="n"/>
      <c r="E95" s="44" t="n"/>
      <c r="F95" s="44" t="n"/>
      <c r="G95" s="44" t="n"/>
      <c r="H95" s="45" t="n"/>
      <c r="I95" s="45" t="n"/>
      <c r="J95" s="45" t="n"/>
      <c r="K95" s="45" t="n"/>
      <c r="L95" s="45" t="n"/>
      <c r="M95" s="45" t="n"/>
      <c r="N95" s="45" t="n"/>
      <c r="O95" s="46" t="n"/>
      <c r="P95" s="45" t="n"/>
      <c r="Q95" s="45" t="n"/>
      <c r="R95" s="45" t="str">
        <f>IF(AND(A95="",B95=""),"",IF(A95="","Missing ID",IF(COUNTIF($A:$A,A95)&gt;1,"Duplicate ID",IF(B95="","Missing title",IF(C95="","Missing module",IF(J95="","Missing steps",IF(K95="","Missing expected result",IF(AND(F95=St_Failed,L95=""),"Add actual result","OK"))))))))</f>
        <v/>
      </c>
    </row>
    <row r="96" ht="32" customHeight="1">
      <c r="A96" s="44" t="n"/>
      <c r="B96" s="45" t="n"/>
      <c r="C96" s="45" t="n"/>
      <c r="D96" s="45" t="n"/>
      <c r="E96" s="44" t="n"/>
      <c r="F96" s="44" t="n"/>
      <c r="G96" s="44" t="n"/>
      <c r="H96" s="45" t="n"/>
      <c r="I96" s="45" t="n"/>
      <c r="J96" s="45" t="n"/>
      <c r="K96" s="45" t="n"/>
      <c r="L96" s="45" t="n"/>
      <c r="M96" s="45" t="n"/>
      <c r="N96" s="45" t="n"/>
      <c r="O96" s="46" t="n"/>
      <c r="P96" s="45" t="n"/>
      <c r="Q96" s="45" t="n"/>
      <c r="R96" s="45" t="str">
        <f>IF(AND(A96="",B96=""),"",IF(A96="","Missing ID",IF(COUNTIF($A:$A,A96)&gt;1,"Duplicate ID",IF(B96="","Missing title",IF(C96="","Missing module",IF(J96="","Missing steps",IF(K96="","Missing expected result",IF(AND(F96=St_Failed,L96=""),"Add actual result","OK"))))))))</f>
        <v/>
      </c>
    </row>
    <row r="97" ht="32" customHeight="1">
      <c r="A97" s="44" t="n"/>
      <c r="B97" s="45" t="n"/>
      <c r="C97" s="45" t="n"/>
      <c r="D97" s="45" t="n"/>
      <c r="E97" s="44" t="n"/>
      <c r="F97" s="44" t="n"/>
      <c r="G97" s="44" t="n"/>
      <c r="H97" s="45" t="n"/>
      <c r="I97" s="45" t="n"/>
      <c r="J97" s="45" t="n"/>
      <c r="K97" s="45" t="n"/>
      <c r="L97" s="45" t="n"/>
      <c r="M97" s="45" t="n"/>
      <c r="N97" s="45" t="n"/>
      <c r="O97" s="46" t="n"/>
      <c r="P97" s="45" t="n"/>
      <c r="Q97" s="45" t="n"/>
      <c r="R97" s="45" t="str">
        <f>IF(AND(A97="",B97=""),"",IF(A97="","Missing ID",IF(COUNTIF($A:$A,A97)&gt;1,"Duplicate ID",IF(B97="","Missing title",IF(C97="","Missing module",IF(J97="","Missing steps",IF(K97="","Missing expected result",IF(AND(F97=St_Failed,L97=""),"Add actual result","OK"))))))))</f>
        <v/>
      </c>
    </row>
    <row r="98" ht="32" customHeight="1">
      <c r="A98" s="44" t="n"/>
      <c r="B98" s="45" t="n"/>
      <c r="C98" s="45" t="n"/>
      <c r="D98" s="45" t="n"/>
      <c r="E98" s="44" t="n"/>
      <c r="F98" s="44" t="n"/>
      <c r="G98" s="44" t="n"/>
      <c r="H98" s="45" t="n"/>
      <c r="I98" s="45" t="n"/>
      <c r="J98" s="45" t="n"/>
      <c r="K98" s="45" t="n"/>
      <c r="L98" s="45" t="n"/>
      <c r="M98" s="45" t="n"/>
      <c r="N98" s="45" t="n"/>
      <c r="O98" s="46" t="n"/>
      <c r="P98" s="45" t="n"/>
      <c r="Q98" s="45" t="n"/>
      <c r="R98" s="45" t="str">
        <f>IF(AND(A98="",B98=""),"",IF(A98="","Missing ID",IF(COUNTIF($A:$A,A98)&gt;1,"Duplicate ID",IF(B98="","Missing title",IF(C98="","Missing module",IF(J98="","Missing steps",IF(K98="","Missing expected result",IF(AND(F98=St_Failed,L98=""),"Add actual result","OK"))))))))</f>
        <v/>
      </c>
    </row>
    <row r="99" ht="32" customHeight="1">
      <c r="A99" s="44" t="n"/>
      <c r="B99" s="45" t="n"/>
      <c r="C99" s="45" t="n"/>
      <c r="D99" s="45" t="n"/>
      <c r="E99" s="44" t="n"/>
      <c r="F99" s="44" t="n"/>
      <c r="G99" s="44" t="n"/>
      <c r="H99" s="45" t="n"/>
      <c r="I99" s="45" t="n"/>
      <c r="J99" s="45" t="n"/>
      <c r="K99" s="45" t="n"/>
      <c r="L99" s="45" t="n"/>
      <c r="M99" s="45" t="n"/>
      <c r="N99" s="45" t="n"/>
      <c r="O99" s="46" t="n"/>
      <c r="P99" s="45" t="n"/>
      <c r="Q99" s="45" t="n"/>
      <c r="R99" s="45" t="str">
        <f>IF(AND(A99="",B99=""),"",IF(A99="","Missing ID",IF(COUNTIF($A:$A,A99)&gt;1,"Duplicate ID",IF(B99="","Missing title",IF(C99="","Missing module",IF(J99="","Missing steps",IF(K99="","Missing expected result",IF(AND(F99=St_Failed,L99=""),"Add actual result","OK"))))))))</f>
        <v/>
      </c>
    </row>
    <row r="100" ht="32" customHeight="1">
      <c r="A100" s="44" t="n"/>
      <c r="B100" s="45" t="n"/>
      <c r="C100" s="45" t="n"/>
      <c r="D100" s="45" t="n"/>
      <c r="E100" s="44" t="n"/>
      <c r="F100" s="44" t="n"/>
      <c r="G100" s="44" t="n"/>
      <c r="H100" s="45" t="n"/>
      <c r="I100" s="45" t="n"/>
      <c r="J100" s="45" t="n"/>
      <c r="K100" s="45" t="n"/>
      <c r="L100" s="45" t="n"/>
      <c r="M100" s="45" t="n"/>
      <c r="N100" s="45" t="n"/>
      <c r="O100" s="46" t="n"/>
      <c r="P100" s="45" t="n"/>
      <c r="Q100" s="45" t="n"/>
      <c r="R100" s="45" t="str">
        <f>IF(AND(A100="",B100=""),"",IF(A100="","Missing ID",IF(COUNTIF($A:$A,A100)&gt;1,"Duplicate ID",IF(B100="","Missing title",IF(C100="","Missing module",IF(J100="","Missing steps",IF(K100="","Missing expected result",IF(AND(F100=St_Failed,L100=""),"Add actual result","OK"))))))))</f>
        <v/>
      </c>
    </row>
    <row r="101" ht="32" customHeight="1">
      <c r="A101" s="44" t="n"/>
      <c r="B101" s="45" t="n"/>
      <c r="C101" s="45" t="n"/>
      <c r="D101" s="45" t="n"/>
      <c r="E101" s="44" t="n"/>
      <c r="F101" s="44" t="n"/>
      <c r="G101" s="44" t="n"/>
      <c r="H101" s="45" t="n"/>
      <c r="I101" s="45" t="n"/>
      <c r="J101" s="45" t="n"/>
      <c r="K101" s="45" t="n"/>
      <c r="L101" s="45" t="n"/>
      <c r="M101" s="45" t="n"/>
      <c r="N101" s="45" t="n"/>
      <c r="O101" s="46" t="n"/>
      <c r="P101" s="45" t="n"/>
      <c r="Q101" s="45" t="n"/>
      <c r="R101" s="45" t="str">
        <f>IF(AND(A101="",B101=""),"",IF(A101="","Missing ID",IF(COUNTIF($A:$A,A101)&gt;1,"Duplicate ID",IF(B101="","Missing title",IF(C101="","Missing module",IF(J101="","Missing steps",IF(K101="","Missing expected result",IF(AND(F101=St_Failed,L101=""),"Add actual result","OK"))))))))</f>
        <v/>
      </c>
    </row>
    <row r="102" ht="32" customHeight="1">
      <c r="A102" s="44" t="n"/>
      <c r="B102" s="45" t="n"/>
      <c r="C102" s="45" t="n"/>
      <c r="D102" s="45" t="n"/>
      <c r="E102" s="44" t="n"/>
      <c r="F102" s="44" t="n"/>
      <c r="G102" s="44" t="n"/>
      <c r="H102" s="45" t="n"/>
      <c r="I102" s="45" t="n"/>
      <c r="J102" s="45" t="n"/>
      <c r="K102" s="45" t="n"/>
      <c r="L102" s="45" t="n"/>
      <c r="M102" s="45" t="n"/>
      <c r="N102" s="45" t="n"/>
      <c r="O102" s="46" t="n"/>
      <c r="P102" s="45" t="n"/>
      <c r="Q102" s="45" t="n"/>
      <c r="R102" s="45" t="str">
        <f>IF(AND(A102="",B102=""),"",IF(A102="","Missing ID",IF(COUNTIF($A:$A,A102)&gt;1,"Duplicate ID",IF(B102="","Missing title",IF(C102="","Missing module",IF(J102="","Missing steps",IF(K102="","Missing expected result",IF(AND(F102=St_Failed,L102=""),"Add actual result","OK"))))))))</f>
        <v/>
      </c>
    </row>
    <row r="103" ht="32" customHeight="1">
      <c r="A103" s="44" t="n"/>
      <c r="B103" s="45" t="n"/>
      <c r="C103" s="45" t="n"/>
      <c r="D103" s="45" t="n"/>
      <c r="E103" s="44" t="n"/>
      <c r="F103" s="44" t="n"/>
      <c r="G103" s="44" t="n"/>
      <c r="H103" s="45" t="n"/>
      <c r="I103" s="45" t="n"/>
      <c r="J103" s="45" t="n"/>
      <c r="K103" s="45" t="n"/>
      <c r="L103" s="45" t="n"/>
      <c r="M103" s="45" t="n"/>
      <c r="N103" s="45" t="n"/>
      <c r="O103" s="46" t="n"/>
      <c r="P103" s="45" t="n"/>
      <c r="Q103" s="45" t="n"/>
      <c r="R103" s="45" t="str">
        <f>IF(AND(A103="",B103=""),"",IF(A103="","Missing ID",IF(COUNTIF($A:$A,A103)&gt;1,"Duplicate ID",IF(B103="","Missing title",IF(C103="","Missing module",IF(J103="","Missing steps",IF(K103="","Missing expected result",IF(AND(F103=St_Failed,L103=""),"Add actual result","OK"))))))))</f>
        <v/>
      </c>
    </row>
    <row r="104" ht="32" customHeight="1">
      <c r="A104" s="44" t="n"/>
      <c r="B104" s="45" t="n"/>
      <c r="C104" s="45" t="n"/>
      <c r="D104" s="45" t="n"/>
      <c r="E104" s="44" t="n"/>
      <c r="F104" s="44" t="n"/>
      <c r="G104" s="44" t="n"/>
      <c r="H104" s="45" t="n"/>
      <c r="I104" s="45" t="n"/>
      <c r="J104" s="45" t="n"/>
      <c r="K104" s="45" t="n"/>
      <c r="L104" s="45" t="n"/>
      <c r="M104" s="45" t="n"/>
      <c r="N104" s="45" t="n"/>
      <c r="O104" s="46" t="n"/>
      <c r="P104" s="45" t="n"/>
      <c r="Q104" s="45" t="n"/>
      <c r="R104" s="45" t="str">
        <f>IF(AND(A104="",B104=""),"",IF(A104="","Missing ID",IF(COUNTIF($A:$A,A104)&gt;1,"Duplicate ID",IF(B104="","Missing title",IF(C104="","Missing module",IF(J104="","Missing steps",IF(K104="","Missing expected result",IF(AND(F104=St_Failed,L104=""),"Add actual result","OK"))))))))</f>
        <v/>
      </c>
    </row>
    <row r="105" ht="32" customHeight="1">
      <c r="A105" s="44" t="n"/>
      <c r="B105" s="45" t="n"/>
      <c r="C105" s="45" t="n"/>
      <c r="D105" s="45" t="n"/>
      <c r="E105" s="44" t="n"/>
      <c r="F105" s="44" t="n"/>
      <c r="G105" s="44" t="n"/>
      <c r="H105" s="45" t="n"/>
      <c r="I105" s="45" t="n"/>
      <c r="J105" s="45" t="n"/>
      <c r="K105" s="45" t="n"/>
      <c r="L105" s="45" t="n"/>
      <c r="M105" s="45" t="n"/>
      <c r="N105" s="45" t="n"/>
      <c r="O105" s="46" t="n"/>
      <c r="P105" s="45" t="n"/>
      <c r="Q105" s="45" t="n"/>
      <c r="R105" s="45" t="str">
        <f>IF(AND(A105="",B105=""),"",IF(A105="","Missing ID",IF(COUNTIF($A:$A,A105)&gt;1,"Duplicate ID",IF(B105="","Missing title",IF(C105="","Missing module",IF(J105="","Missing steps",IF(K105="","Missing expected result",IF(AND(F105=St_Failed,L105=""),"Add actual result","OK"))))))))</f>
        <v/>
      </c>
    </row>
    <row r="106" ht="32" customHeight="1">
      <c r="A106" s="44" t="n"/>
      <c r="B106" s="45" t="n"/>
      <c r="C106" s="45" t="n"/>
      <c r="D106" s="45" t="n"/>
      <c r="E106" s="44" t="n"/>
      <c r="F106" s="44" t="n"/>
      <c r="G106" s="44" t="n"/>
      <c r="H106" s="45" t="n"/>
      <c r="I106" s="45" t="n"/>
      <c r="J106" s="45" t="n"/>
      <c r="K106" s="45" t="n"/>
      <c r="L106" s="45" t="n"/>
      <c r="M106" s="45" t="n"/>
      <c r="N106" s="45" t="n"/>
      <c r="O106" s="46" t="n"/>
      <c r="P106" s="45" t="n"/>
      <c r="Q106" s="45" t="n"/>
      <c r="R106" s="45" t="str">
        <f>IF(AND(A106="",B106=""),"",IF(A106="","Missing ID",IF(COUNTIF($A:$A,A106)&gt;1,"Duplicate ID",IF(B106="","Missing title",IF(C106="","Missing module",IF(J106="","Missing steps",IF(K106="","Missing expected result",IF(AND(F106=St_Failed,L106=""),"Add actual result","OK"))))))))</f>
        <v/>
      </c>
    </row>
    <row r="107" ht="32" customHeight="1">
      <c r="A107" s="44" t="n"/>
      <c r="B107" s="45" t="n"/>
      <c r="C107" s="45" t="n"/>
      <c r="D107" s="45" t="n"/>
      <c r="E107" s="44" t="n"/>
      <c r="F107" s="44" t="n"/>
      <c r="G107" s="44" t="n"/>
      <c r="H107" s="45" t="n"/>
      <c r="I107" s="45" t="n"/>
      <c r="J107" s="45" t="n"/>
      <c r="K107" s="45" t="n"/>
      <c r="L107" s="45" t="n"/>
      <c r="M107" s="45" t="n"/>
      <c r="N107" s="45" t="n"/>
      <c r="O107" s="46" t="n"/>
      <c r="P107" s="45" t="n"/>
      <c r="Q107" s="45" t="n"/>
      <c r="R107" s="45" t="str">
        <f>IF(AND(A107="",B107=""),"",IF(A107="","Missing ID",IF(COUNTIF($A:$A,A107)&gt;1,"Duplicate ID",IF(B107="","Missing title",IF(C107="","Missing module",IF(J107="","Missing steps",IF(K107="","Missing expected result",IF(AND(F107=St_Failed,L107=""),"Add actual result","OK"))))))))</f>
        <v/>
      </c>
    </row>
    <row r="108" ht="32" customHeight="1">
      <c r="A108" s="44" t="n"/>
      <c r="B108" s="45" t="n"/>
      <c r="C108" s="45" t="n"/>
      <c r="D108" s="45" t="n"/>
      <c r="E108" s="44" t="n"/>
      <c r="F108" s="44" t="n"/>
      <c r="G108" s="44" t="n"/>
      <c r="H108" s="45" t="n"/>
      <c r="I108" s="45" t="n"/>
      <c r="J108" s="45" t="n"/>
      <c r="K108" s="45" t="n"/>
      <c r="L108" s="45" t="n"/>
      <c r="M108" s="45" t="n"/>
      <c r="N108" s="45" t="n"/>
      <c r="O108" s="46" t="n"/>
      <c r="P108" s="45" t="n"/>
      <c r="Q108" s="45" t="n"/>
      <c r="R108" s="45" t="str">
        <f>IF(AND(A108="",B108=""),"",IF(A108="","Missing ID",IF(COUNTIF($A:$A,A108)&gt;1,"Duplicate ID",IF(B108="","Missing title",IF(C108="","Missing module",IF(J108="","Missing steps",IF(K108="","Missing expected result",IF(AND(F108=St_Failed,L108=""),"Add actual result","OK"))))))))</f>
        <v/>
      </c>
    </row>
    <row r="109" ht="32" customHeight="1">
      <c r="A109" s="44" t="n"/>
      <c r="B109" s="45" t="n"/>
      <c r="C109" s="45" t="n"/>
      <c r="D109" s="45" t="n"/>
      <c r="E109" s="44" t="n"/>
      <c r="F109" s="44" t="n"/>
      <c r="G109" s="44" t="n"/>
      <c r="H109" s="45" t="n"/>
      <c r="I109" s="45" t="n"/>
      <c r="J109" s="45" t="n"/>
      <c r="K109" s="45" t="n"/>
      <c r="L109" s="45" t="n"/>
      <c r="M109" s="45" t="n"/>
      <c r="N109" s="45" t="n"/>
      <c r="O109" s="46" t="n"/>
      <c r="P109" s="45" t="n"/>
      <c r="Q109" s="45" t="n"/>
      <c r="R109" s="45" t="str">
        <f>IF(AND(A109="",B109=""),"",IF(A109="","Missing ID",IF(COUNTIF($A:$A,A109)&gt;1,"Duplicate ID",IF(B109="","Missing title",IF(C109="","Missing module",IF(J109="","Missing steps",IF(K109="","Missing expected result",IF(AND(F109=St_Failed,L109=""),"Add actual result","OK"))))))))</f>
        <v/>
      </c>
    </row>
    <row r="110" ht="32" customHeight="1">
      <c r="A110" s="44" t="n"/>
      <c r="B110" s="45" t="n"/>
      <c r="C110" s="45" t="n"/>
      <c r="D110" s="45" t="n"/>
      <c r="E110" s="44" t="n"/>
      <c r="F110" s="44" t="n"/>
      <c r="G110" s="44" t="n"/>
      <c r="H110" s="45" t="n"/>
      <c r="I110" s="45" t="n"/>
      <c r="J110" s="45" t="n"/>
      <c r="K110" s="45" t="n"/>
      <c r="L110" s="45" t="n"/>
      <c r="M110" s="45" t="n"/>
      <c r="N110" s="45" t="n"/>
      <c r="O110" s="46" t="n"/>
      <c r="P110" s="45" t="n"/>
      <c r="Q110" s="45" t="n"/>
      <c r="R110" s="45" t="str">
        <f>IF(AND(A110="",B110=""),"",IF(A110="","Missing ID",IF(COUNTIF($A:$A,A110)&gt;1,"Duplicate ID",IF(B110="","Missing title",IF(C110="","Missing module",IF(J110="","Missing steps",IF(K110="","Missing expected result",IF(AND(F110=St_Failed,L110=""),"Add actual result","OK"))))))))</f>
        <v/>
      </c>
    </row>
    <row r="111" ht="32" customHeight="1">
      <c r="A111" s="44" t="n"/>
      <c r="B111" s="45" t="n"/>
      <c r="C111" s="45" t="n"/>
      <c r="D111" s="45" t="n"/>
      <c r="E111" s="44" t="n"/>
      <c r="F111" s="44" t="n"/>
      <c r="G111" s="44" t="n"/>
      <c r="H111" s="45" t="n"/>
      <c r="I111" s="45" t="n"/>
      <c r="J111" s="45" t="n"/>
      <c r="K111" s="45" t="n"/>
      <c r="L111" s="45" t="n"/>
      <c r="M111" s="45" t="n"/>
      <c r="N111" s="45" t="n"/>
      <c r="O111" s="46" t="n"/>
      <c r="P111" s="45" t="n"/>
      <c r="Q111" s="45" t="n"/>
      <c r="R111" s="45" t="str">
        <f>IF(AND(A111="",B111=""),"",IF(A111="","Missing ID",IF(COUNTIF($A:$A,A111)&gt;1,"Duplicate ID",IF(B111="","Missing title",IF(C111="","Missing module",IF(J111="","Missing steps",IF(K111="","Missing expected result",IF(AND(F111=St_Failed,L111=""),"Add actual result","OK"))))))))</f>
        <v/>
      </c>
    </row>
    <row r="112" ht="32" customHeight="1">
      <c r="A112" s="44" t="n"/>
      <c r="B112" s="45" t="n"/>
      <c r="C112" s="45" t="n"/>
      <c r="D112" s="45" t="n"/>
      <c r="E112" s="44" t="n"/>
      <c r="F112" s="44" t="n"/>
      <c r="G112" s="44" t="n"/>
      <c r="H112" s="45" t="n"/>
      <c r="I112" s="45" t="n"/>
      <c r="J112" s="45" t="n"/>
      <c r="K112" s="45" t="n"/>
      <c r="L112" s="45" t="n"/>
      <c r="M112" s="45" t="n"/>
      <c r="N112" s="45" t="n"/>
      <c r="O112" s="46" t="n"/>
      <c r="P112" s="45" t="n"/>
      <c r="Q112" s="45" t="n"/>
      <c r="R112" s="45" t="str">
        <f>IF(AND(A112="",B112=""),"",IF(A112="","Missing ID",IF(COUNTIF($A:$A,A112)&gt;1,"Duplicate ID",IF(B112="","Missing title",IF(C112="","Missing module",IF(J112="","Missing steps",IF(K112="","Missing expected result",IF(AND(F112=St_Failed,L112=""),"Add actual result","OK"))))))))</f>
        <v/>
      </c>
    </row>
    <row r="113" ht="32" customHeight="1">
      <c r="A113" s="44" t="n"/>
      <c r="B113" s="45" t="n"/>
      <c r="C113" s="45" t="n"/>
      <c r="D113" s="45" t="n"/>
      <c r="E113" s="44" t="n"/>
      <c r="F113" s="44" t="n"/>
      <c r="G113" s="44" t="n"/>
      <c r="H113" s="45" t="n"/>
      <c r="I113" s="45" t="n"/>
      <c r="J113" s="45" t="n"/>
      <c r="K113" s="45" t="n"/>
      <c r="L113" s="45" t="n"/>
      <c r="M113" s="45" t="n"/>
      <c r="N113" s="45" t="n"/>
      <c r="O113" s="46" t="n"/>
      <c r="P113" s="45" t="n"/>
      <c r="Q113" s="45" t="n"/>
      <c r="R113" s="45" t="str">
        <f>IF(AND(A113="",B113=""),"",IF(A113="","Missing ID",IF(COUNTIF($A:$A,A113)&gt;1,"Duplicate ID",IF(B113="","Missing title",IF(C113="","Missing module",IF(J113="","Missing steps",IF(K113="","Missing expected result",IF(AND(F113=St_Failed,L113=""),"Add actual result","OK"))))))))</f>
        <v/>
      </c>
    </row>
    <row r="114" ht="32" customHeight="1">
      <c r="A114" s="44" t="n"/>
      <c r="B114" s="45" t="n"/>
      <c r="C114" s="45" t="n"/>
      <c r="D114" s="45" t="n"/>
      <c r="E114" s="44" t="n"/>
      <c r="F114" s="44" t="n"/>
      <c r="G114" s="44" t="n"/>
      <c r="H114" s="45" t="n"/>
      <c r="I114" s="45" t="n"/>
      <c r="J114" s="45" t="n"/>
      <c r="K114" s="45" t="n"/>
      <c r="L114" s="45" t="n"/>
      <c r="M114" s="45" t="n"/>
      <c r="N114" s="45" t="n"/>
      <c r="O114" s="46" t="n"/>
      <c r="P114" s="45" t="n"/>
      <c r="Q114" s="45" t="n"/>
      <c r="R114" s="45" t="str">
        <f>IF(AND(A114="",B114=""),"",IF(A114="","Missing ID",IF(COUNTIF($A:$A,A114)&gt;1,"Duplicate ID",IF(B114="","Missing title",IF(C114="","Missing module",IF(J114="","Missing steps",IF(K114="","Missing expected result",IF(AND(F114=St_Failed,L114=""),"Add actual result","OK"))))))))</f>
        <v/>
      </c>
    </row>
    <row r="115" ht="32" customHeight="1">
      <c r="A115" s="44" t="n"/>
      <c r="B115" s="45" t="n"/>
      <c r="C115" s="45" t="n"/>
      <c r="D115" s="45" t="n"/>
      <c r="E115" s="44" t="n"/>
      <c r="F115" s="44" t="n"/>
      <c r="G115" s="44" t="n"/>
      <c r="H115" s="45" t="n"/>
      <c r="I115" s="45" t="n"/>
      <c r="J115" s="45" t="n"/>
      <c r="K115" s="45" t="n"/>
      <c r="L115" s="45" t="n"/>
      <c r="M115" s="45" t="n"/>
      <c r="N115" s="45" t="n"/>
      <c r="O115" s="46" t="n"/>
      <c r="P115" s="45" t="n"/>
      <c r="Q115" s="45" t="n"/>
      <c r="R115" s="45" t="str">
        <f>IF(AND(A115="",B115=""),"",IF(A115="","Missing ID",IF(COUNTIF($A:$A,A115)&gt;1,"Duplicate ID",IF(B115="","Missing title",IF(C115="","Missing module",IF(J115="","Missing steps",IF(K115="","Missing expected result",IF(AND(F115=St_Failed,L115=""),"Add actual result","OK"))))))))</f>
        <v/>
      </c>
    </row>
    <row r="116" ht="32" customHeight="1">
      <c r="A116" s="44" t="n"/>
      <c r="B116" s="45" t="n"/>
      <c r="C116" s="45" t="n"/>
      <c r="D116" s="45" t="n"/>
      <c r="E116" s="44" t="n"/>
      <c r="F116" s="44" t="n"/>
      <c r="G116" s="44" t="n"/>
      <c r="H116" s="45" t="n"/>
      <c r="I116" s="45" t="n"/>
      <c r="J116" s="45" t="n"/>
      <c r="K116" s="45" t="n"/>
      <c r="L116" s="45" t="n"/>
      <c r="M116" s="45" t="n"/>
      <c r="N116" s="45" t="n"/>
      <c r="O116" s="46" t="n"/>
      <c r="P116" s="45" t="n"/>
      <c r="Q116" s="45" t="n"/>
      <c r="R116" s="45" t="str">
        <f>IF(AND(A116="",B116=""),"",IF(A116="","Missing ID",IF(COUNTIF($A:$A,A116)&gt;1,"Duplicate ID",IF(B116="","Missing title",IF(C116="","Missing module",IF(J116="","Missing steps",IF(K116="","Missing expected result",IF(AND(F116=St_Failed,L116=""),"Add actual result","OK"))))))))</f>
        <v/>
      </c>
    </row>
    <row r="117" ht="32" customHeight="1">
      <c r="A117" s="44" t="n"/>
      <c r="B117" s="45" t="n"/>
      <c r="C117" s="45" t="n"/>
      <c r="D117" s="45" t="n"/>
      <c r="E117" s="44" t="n"/>
      <c r="F117" s="44" t="n"/>
      <c r="G117" s="44" t="n"/>
      <c r="H117" s="45" t="n"/>
      <c r="I117" s="45" t="n"/>
      <c r="J117" s="45" t="n"/>
      <c r="K117" s="45" t="n"/>
      <c r="L117" s="45" t="n"/>
      <c r="M117" s="45" t="n"/>
      <c r="N117" s="45" t="n"/>
      <c r="O117" s="46" t="n"/>
      <c r="P117" s="45" t="n"/>
      <c r="Q117" s="45" t="n"/>
      <c r="R117" s="45" t="str">
        <f>IF(AND(A117="",B117=""),"",IF(A117="","Missing ID",IF(COUNTIF($A:$A,A117)&gt;1,"Duplicate ID",IF(B117="","Missing title",IF(C117="","Missing module",IF(J117="","Missing steps",IF(K117="","Missing expected result",IF(AND(F117=St_Failed,L117=""),"Add actual result","OK"))))))))</f>
        <v/>
      </c>
    </row>
    <row r="118" ht="32" customHeight="1">
      <c r="A118" s="44" t="n"/>
      <c r="B118" s="45" t="n"/>
      <c r="C118" s="45" t="n"/>
      <c r="D118" s="45" t="n"/>
      <c r="E118" s="44" t="n"/>
      <c r="F118" s="44" t="n"/>
      <c r="G118" s="44" t="n"/>
      <c r="H118" s="45" t="n"/>
      <c r="I118" s="45" t="n"/>
      <c r="J118" s="45" t="n"/>
      <c r="K118" s="45" t="n"/>
      <c r="L118" s="45" t="n"/>
      <c r="M118" s="45" t="n"/>
      <c r="N118" s="45" t="n"/>
      <c r="O118" s="46" t="n"/>
      <c r="P118" s="45" t="n"/>
      <c r="Q118" s="45" t="n"/>
      <c r="R118" s="45" t="str">
        <f>IF(AND(A118="",B118=""),"",IF(A118="","Missing ID",IF(COUNTIF($A:$A,A118)&gt;1,"Duplicate ID",IF(B118="","Missing title",IF(C118="","Missing module",IF(J118="","Missing steps",IF(K118="","Missing expected result",IF(AND(F118=St_Failed,L118=""),"Add actual result","OK"))))))))</f>
        <v/>
      </c>
    </row>
    <row r="119" ht="32" customHeight="1">
      <c r="A119" s="44" t="n"/>
      <c r="B119" s="45" t="n"/>
      <c r="C119" s="45" t="n"/>
      <c r="D119" s="45" t="n"/>
      <c r="E119" s="44" t="n"/>
      <c r="F119" s="44" t="n"/>
      <c r="G119" s="44" t="n"/>
      <c r="H119" s="45" t="n"/>
      <c r="I119" s="45" t="n"/>
      <c r="J119" s="45" t="n"/>
      <c r="K119" s="45" t="n"/>
      <c r="L119" s="45" t="n"/>
      <c r="M119" s="45" t="n"/>
      <c r="N119" s="45" t="n"/>
      <c r="O119" s="46" t="n"/>
      <c r="P119" s="45" t="n"/>
      <c r="Q119" s="45" t="n"/>
      <c r="R119" s="45" t="str">
        <f>IF(AND(A119="",B119=""),"",IF(A119="","Missing ID",IF(COUNTIF($A:$A,A119)&gt;1,"Duplicate ID",IF(B119="","Missing title",IF(C119="","Missing module",IF(J119="","Missing steps",IF(K119="","Missing expected result",IF(AND(F119=St_Failed,L119=""),"Add actual result","OK"))))))))</f>
        <v/>
      </c>
    </row>
    <row r="120" ht="32" customHeight="1">
      <c r="A120" s="44" t="n"/>
      <c r="B120" s="45" t="n"/>
      <c r="C120" s="45" t="n"/>
      <c r="D120" s="45" t="n"/>
      <c r="E120" s="44" t="n"/>
      <c r="F120" s="44" t="n"/>
      <c r="G120" s="44" t="n"/>
      <c r="H120" s="45" t="n"/>
      <c r="I120" s="45" t="n"/>
      <c r="J120" s="45" t="n"/>
      <c r="K120" s="45" t="n"/>
      <c r="L120" s="45" t="n"/>
      <c r="M120" s="45" t="n"/>
      <c r="N120" s="45" t="n"/>
      <c r="O120" s="46" t="n"/>
      <c r="P120" s="45" t="n"/>
      <c r="Q120" s="45" t="n"/>
      <c r="R120" s="45" t="str">
        <f>IF(AND(A120="",B120=""),"",IF(A120="","Missing ID",IF(COUNTIF($A:$A,A120)&gt;1,"Duplicate ID",IF(B120="","Missing title",IF(C120="","Missing module",IF(J120="","Missing steps",IF(K120="","Missing expected result",IF(AND(F120=St_Failed,L120=""),"Add actual result","OK"))))))))</f>
        <v/>
      </c>
    </row>
    <row r="121" ht="32" customHeight="1">
      <c r="A121" s="44" t="n"/>
      <c r="B121" s="45" t="n"/>
      <c r="C121" s="45" t="n"/>
      <c r="D121" s="45" t="n"/>
      <c r="E121" s="44" t="n"/>
      <c r="F121" s="44" t="n"/>
      <c r="G121" s="44" t="n"/>
      <c r="H121" s="45" t="n"/>
      <c r="I121" s="45" t="n"/>
      <c r="J121" s="45" t="n"/>
      <c r="K121" s="45" t="n"/>
      <c r="L121" s="45" t="n"/>
      <c r="M121" s="45" t="n"/>
      <c r="N121" s="45" t="n"/>
      <c r="O121" s="46" t="n"/>
      <c r="P121" s="45" t="n"/>
      <c r="Q121" s="45" t="n"/>
      <c r="R121" s="45" t="str">
        <f>IF(AND(A121="",B121=""),"",IF(A121="","Missing ID",IF(COUNTIF($A:$A,A121)&gt;1,"Duplicate ID",IF(B121="","Missing title",IF(C121="","Missing module",IF(J121="","Missing steps",IF(K121="","Missing expected result",IF(AND(F121=St_Failed,L121=""),"Add actual result","OK"))))))))</f>
        <v/>
      </c>
    </row>
    <row r="122" ht="32" customHeight="1">
      <c r="A122" s="44" t="n"/>
      <c r="B122" s="45" t="n"/>
      <c r="C122" s="45" t="n"/>
      <c r="D122" s="45" t="n"/>
      <c r="E122" s="44" t="n"/>
      <c r="F122" s="44" t="n"/>
      <c r="G122" s="44" t="n"/>
      <c r="H122" s="45" t="n"/>
      <c r="I122" s="45" t="n"/>
      <c r="J122" s="45" t="n"/>
      <c r="K122" s="45" t="n"/>
      <c r="L122" s="45" t="n"/>
      <c r="M122" s="45" t="n"/>
      <c r="N122" s="45" t="n"/>
      <c r="O122" s="46" t="n"/>
      <c r="P122" s="45" t="n"/>
      <c r="Q122" s="45" t="n"/>
      <c r="R122" s="45" t="str">
        <f>IF(AND(A122="",B122=""),"",IF(A122="","Missing ID",IF(COUNTIF($A:$A,A122)&gt;1,"Duplicate ID",IF(B122="","Missing title",IF(C122="","Missing module",IF(J122="","Missing steps",IF(K122="","Missing expected result",IF(AND(F122=St_Failed,L122=""),"Add actual result","OK"))))))))</f>
        <v/>
      </c>
    </row>
    <row r="123" ht="32" customHeight="1">
      <c r="A123" s="44" t="n"/>
      <c r="B123" s="45" t="n"/>
      <c r="C123" s="45" t="n"/>
      <c r="D123" s="45" t="n"/>
      <c r="E123" s="44" t="n"/>
      <c r="F123" s="44" t="n"/>
      <c r="G123" s="44" t="n"/>
      <c r="H123" s="45" t="n"/>
      <c r="I123" s="45" t="n"/>
      <c r="J123" s="45" t="n"/>
      <c r="K123" s="45" t="n"/>
      <c r="L123" s="45" t="n"/>
      <c r="M123" s="45" t="n"/>
      <c r="N123" s="45" t="n"/>
      <c r="O123" s="46" t="n"/>
      <c r="P123" s="45" t="n"/>
      <c r="Q123" s="45" t="n"/>
      <c r="R123" s="45" t="str">
        <f>IF(AND(A123="",B123=""),"",IF(A123="","Missing ID",IF(COUNTIF($A:$A,A123)&gt;1,"Duplicate ID",IF(B123="","Missing title",IF(C123="","Missing module",IF(J123="","Missing steps",IF(K123="","Missing expected result",IF(AND(F123=St_Failed,L123=""),"Add actual result","OK"))))))))</f>
        <v/>
      </c>
    </row>
    <row r="124" ht="32" customHeight="1">
      <c r="A124" s="44" t="n"/>
      <c r="B124" s="45" t="n"/>
      <c r="C124" s="45" t="n"/>
      <c r="D124" s="45" t="n"/>
      <c r="E124" s="44" t="n"/>
      <c r="F124" s="44" t="n"/>
      <c r="G124" s="44" t="n"/>
      <c r="H124" s="45" t="n"/>
      <c r="I124" s="45" t="n"/>
      <c r="J124" s="45" t="n"/>
      <c r="K124" s="45" t="n"/>
      <c r="L124" s="45" t="n"/>
      <c r="M124" s="45" t="n"/>
      <c r="N124" s="45" t="n"/>
      <c r="O124" s="46" t="n"/>
      <c r="P124" s="45" t="n"/>
      <c r="Q124" s="45" t="n"/>
      <c r="R124" s="45" t="str">
        <f>IF(AND(A124="",B124=""),"",IF(A124="","Missing ID",IF(COUNTIF($A:$A,A124)&gt;1,"Duplicate ID",IF(B124="","Missing title",IF(C124="","Missing module",IF(J124="","Missing steps",IF(K124="","Missing expected result",IF(AND(F124=St_Failed,L124=""),"Add actual result","OK"))))))))</f>
        <v/>
      </c>
    </row>
    <row r="125" ht="32" customHeight="1">
      <c r="A125" s="44" t="n"/>
      <c r="B125" s="45" t="n"/>
      <c r="C125" s="45" t="n"/>
      <c r="D125" s="45" t="n"/>
      <c r="E125" s="44" t="n"/>
      <c r="F125" s="44" t="n"/>
      <c r="G125" s="44" t="n"/>
      <c r="H125" s="45" t="n"/>
      <c r="I125" s="45" t="n"/>
      <c r="J125" s="45" t="n"/>
      <c r="K125" s="45" t="n"/>
      <c r="L125" s="45" t="n"/>
      <c r="M125" s="45" t="n"/>
      <c r="N125" s="45" t="n"/>
      <c r="O125" s="46" t="n"/>
      <c r="P125" s="45" t="n"/>
      <c r="Q125" s="45" t="n"/>
      <c r="R125" s="45" t="str">
        <f>IF(AND(A125="",B125=""),"",IF(A125="","Missing ID",IF(COUNTIF($A:$A,A125)&gt;1,"Duplicate ID",IF(B125="","Missing title",IF(C125="","Missing module",IF(J125="","Missing steps",IF(K125="","Missing expected result",IF(AND(F125=St_Failed,L125=""),"Add actual result","OK"))))))))</f>
        <v/>
      </c>
    </row>
    <row r="126" ht="32" customHeight="1">
      <c r="A126" s="44" t="n"/>
      <c r="B126" s="45" t="n"/>
      <c r="C126" s="45" t="n"/>
      <c r="D126" s="45" t="n"/>
      <c r="E126" s="44" t="n"/>
      <c r="F126" s="44" t="n"/>
      <c r="G126" s="44" t="n"/>
      <c r="H126" s="45" t="n"/>
      <c r="I126" s="45" t="n"/>
      <c r="J126" s="45" t="n"/>
      <c r="K126" s="45" t="n"/>
      <c r="L126" s="45" t="n"/>
      <c r="M126" s="45" t="n"/>
      <c r="N126" s="45" t="n"/>
      <c r="O126" s="46" t="n"/>
      <c r="P126" s="45" t="n"/>
      <c r="Q126" s="45" t="n"/>
      <c r="R126" s="45" t="str">
        <f>IF(AND(A126="",B126=""),"",IF(A126="","Missing ID",IF(COUNTIF($A:$A,A126)&gt;1,"Duplicate ID",IF(B126="","Missing title",IF(C126="","Missing module",IF(J126="","Missing steps",IF(K126="","Missing expected result",IF(AND(F126=St_Failed,L126=""),"Add actual result","OK"))))))))</f>
        <v/>
      </c>
    </row>
    <row r="127" ht="32" customHeight="1">
      <c r="A127" s="44" t="n"/>
      <c r="B127" s="45" t="n"/>
      <c r="C127" s="45" t="n"/>
      <c r="D127" s="45" t="n"/>
      <c r="E127" s="44" t="n"/>
      <c r="F127" s="44" t="n"/>
      <c r="G127" s="44" t="n"/>
      <c r="H127" s="45" t="n"/>
      <c r="I127" s="45" t="n"/>
      <c r="J127" s="45" t="n"/>
      <c r="K127" s="45" t="n"/>
      <c r="L127" s="45" t="n"/>
      <c r="M127" s="45" t="n"/>
      <c r="N127" s="45" t="n"/>
      <c r="O127" s="46" t="n"/>
      <c r="P127" s="45" t="n"/>
      <c r="Q127" s="45" t="n"/>
      <c r="R127" s="45" t="str">
        <f>IF(AND(A127="",B127=""),"",IF(A127="","Missing ID",IF(COUNTIF($A:$A,A127)&gt;1,"Duplicate ID",IF(B127="","Missing title",IF(C127="","Missing module",IF(J127="","Missing steps",IF(K127="","Missing expected result",IF(AND(F127=St_Failed,L127=""),"Add actual result","OK"))))))))</f>
        <v/>
      </c>
    </row>
    <row r="128" ht="32" customHeight="1">
      <c r="A128" s="44" t="n"/>
      <c r="B128" s="45" t="n"/>
      <c r="C128" s="45" t="n"/>
      <c r="D128" s="45" t="n"/>
      <c r="E128" s="44" t="n"/>
      <c r="F128" s="44" t="n"/>
      <c r="G128" s="44" t="n"/>
      <c r="H128" s="45" t="n"/>
      <c r="I128" s="45" t="n"/>
      <c r="J128" s="45" t="n"/>
      <c r="K128" s="45" t="n"/>
      <c r="L128" s="45" t="n"/>
      <c r="M128" s="45" t="n"/>
      <c r="N128" s="45" t="n"/>
      <c r="O128" s="46" t="n"/>
      <c r="P128" s="45" t="n"/>
      <c r="Q128" s="45" t="n"/>
      <c r="R128" s="45" t="str">
        <f>IF(AND(A128="",B128=""),"",IF(A128="","Missing ID",IF(COUNTIF($A:$A,A128)&gt;1,"Duplicate ID",IF(B128="","Missing title",IF(C128="","Missing module",IF(J128="","Missing steps",IF(K128="","Missing expected result",IF(AND(F128=St_Failed,L128=""),"Add actual result","OK"))))))))</f>
        <v/>
      </c>
    </row>
    <row r="129" ht="32" customHeight="1">
      <c r="A129" s="44" t="n"/>
      <c r="B129" s="45" t="n"/>
      <c r="C129" s="45" t="n"/>
      <c r="D129" s="45" t="n"/>
      <c r="E129" s="44" t="n"/>
      <c r="F129" s="44" t="n"/>
      <c r="G129" s="44" t="n"/>
      <c r="H129" s="45" t="n"/>
      <c r="I129" s="45" t="n"/>
      <c r="J129" s="45" t="n"/>
      <c r="K129" s="45" t="n"/>
      <c r="L129" s="45" t="n"/>
      <c r="M129" s="45" t="n"/>
      <c r="N129" s="45" t="n"/>
      <c r="O129" s="46" t="n"/>
      <c r="P129" s="45" t="n"/>
      <c r="Q129" s="45" t="n"/>
      <c r="R129" s="45" t="str">
        <f>IF(AND(A129="",B129=""),"",IF(A129="","Missing ID",IF(COUNTIF($A:$A,A129)&gt;1,"Duplicate ID",IF(B129="","Missing title",IF(C129="","Missing module",IF(J129="","Missing steps",IF(K129="","Missing expected result",IF(AND(F129=St_Failed,L129=""),"Add actual result","OK"))))))))</f>
        <v/>
      </c>
    </row>
    <row r="130" ht="32" customHeight="1">
      <c r="A130" s="44" t="n"/>
      <c r="B130" s="45" t="n"/>
      <c r="C130" s="45" t="n"/>
      <c r="D130" s="45" t="n"/>
      <c r="E130" s="44" t="n"/>
      <c r="F130" s="44" t="n"/>
      <c r="G130" s="44" t="n"/>
      <c r="H130" s="45" t="n"/>
      <c r="I130" s="45" t="n"/>
      <c r="J130" s="45" t="n"/>
      <c r="K130" s="45" t="n"/>
      <c r="L130" s="45" t="n"/>
      <c r="M130" s="45" t="n"/>
      <c r="N130" s="45" t="n"/>
      <c r="O130" s="46" t="n"/>
      <c r="P130" s="45" t="n"/>
      <c r="Q130" s="45" t="n"/>
      <c r="R130" s="45" t="str">
        <f>IF(AND(A130="",B130=""),"",IF(A130="","Missing ID",IF(COUNTIF($A:$A,A130)&gt;1,"Duplicate ID",IF(B130="","Missing title",IF(C130="","Missing module",IF(J130="","Missing steps",IF(K130="","Missing expected result",IF(AND(F130=St_Failed,L130=""),"Add actual result","OK"))))))))</f>
        <v/>
      </c>
    </row>
    <row r="131" ht="32" customHeight="1">
      <c r="A131" s="44" t="n"/>
      <c r="B131" s="45" t="n"/>
      <c r="C131" s="45" t="n"/>
      <c r="D131" s="45" t="n"/>
      <c r="E131" s="44" t="n"/>
      <c r="F131" s="44" t="n"/>
      <c r="G131" s="44" t="n"/>
      <c r="H131" s="45" t="n"/>
      <c r="I131" s="45" t="n"/>
      <c r="J131" s="45" t="n"/>
      <c r="K131" s="45" t="n"/>
      <c r="L131" s="45" t="n"/>
      <c r="M131" s="45" t="n"/>
      <c r="N131" s="45" t="n"/>
      <c r="O131" s="46" t="n"/>
      <c r="P131" s="45" t="n"/>
      <c r="Q131" s="45" t="n"/>
      <c r="R131" s="45" t="str">
        <f>IF(AND(A131="",B131=""),"",IF(A131="","Missing ID",IF(COUNTIF($A:$A,A131)&gt;1,"Duplicate ID",IF(B131="","Missing title",IF(C131="","Missing module",IF(J131="","Missing steps",IF(K131="","Missing expected result",IF(AND(F131=St_Failed,L131=""),"Add actual result","OK"))))))))</f>
        <v/>
      </c>
    </row>
    <row r="132" ht="32" customHeight="1">
      <c r="A132" s="44" t="n"/>
      <c r="B132" s="45" t="n"/>
      <c r="C132" s="45" t="n"/>
      <c r="D132" s="45" t="n"/>
      <c r="E132" s="44" t="n"/>
      <c r="F132" s="44" t="n"/>
      <c r="G132" s="44" t="n"/>
      <c r="H132" s="45" t="n"/>
      <c r="I132" s="45" t="n"/>
      <c r="J132" s="45" t="n"/>
      <c r="K132" s="45" t="n"/>
      <c r="L132" s="45" t="n"/>
      <c r="M132" s="45" t="n"/>
      <c r="N132" s="45" t="n"/>
      <c r="O132" s="46" t="n"/>
      <c r="P132" s="45" t="n"/>
      <c r="Q132" s="45" t="n"/>
      <c r="R132" s="45" t="str">
        <f>IF(AND(A132="",B132=""),"",IF(A132="","Missing ID",IF(COUNTIF($A:$A,A132)&gt;1,"Duplicate ID",IF(B132="","Missing title",IF(C132="","Missing module",IF(J132="","Missing steps",IF(K132="","Missing expected result",IF(AND(F132=St_Failed,L132=""),"Add actual result","OK"))))))))</f>
        <v/>
      </c>
    </row>
    <row r="133" ht="32" customHeight="1">
      <c r="A133" s="44" t="n"/>
      <c r="B133" s="45" t="n"/>
      <c r="C133" s="45" t="n"/>
      <c r="D133" s="45" t="n"/>
      <c r="E133" s="44" t="n"/>
      <c r="F133" s="44" t="n"/>
      <c r="G133" s="44" t="n"/>
      <c r="H133" s="45" t="n"/>
      <c r="I133" s="45" t="n"/>
      <c r="J133" s="45" t="n"/>
      <c r="K133" s="45" t="n"/>
      <c r="L133" s="45" t="n"/>
      <c r="M133" s="45" t="n"/>
      <c r="N133" s="45" t="n"/>
      <c r="O133" s="46" t="n"/>
      <c r="P133" s="45" t="n"/>
      <c r="Q133" s="45" t="n"/>
      <c r="R133" s="45" t="str">
        <f>IF(AND(A133="",B133=""),"",IF(A133="","Missing ID",IF(COUNTIF($A:$A,A133)&gt;1,"Duplicate ID",IF(B133="","Missing title",IF(C133="","Missing module",IF(J133="","Missing steps",IF(K133="","Missing expected result",IF(AND(F133=St_Failed,L133=""),"Add actual result","OK"))))))))</f>
        <v/>
      </c>
    </row>
    <row r="134" ht="32" customHeight="1">
      <c r="A134" s="44" t="n"/>
      <c r="B134" s="45" t="n"/>
      <c r="C134" s="45" t="n"/>
      <c r="D134" s="45" t="n"/>
      <c r="E134" s="44" t="n"/>
      <c r="F134" s="44" t="n"/>
      <c r="G134" s="44" t="n"/>
      <c r="H134" s="45" t="n"/>
      <c r="I134" s="45" t="n"/>
      <c r="J134" s="45" t="n"/>
      <c r="K134" s="45" t="n"/>
      <c r="L134" s="45" t="n"/>
      <c r="M134" s="45" t="n"/>
      <c r="N134" s="45" t="n"/>
      <c r="O134" s="46" t="n"/>
      <c r="P134" s="45" t="n"/>
      <c r="Q134" s="45" t="n"/>
      <c r="R134" s="45" t="str">
        <f>IF(AND(A134="",B134=""),"",IF(A134="","Missing ID",IF(COUNTIF($A:$A,A134)&gt;1,"Duplicate ID",IF(B134="","Missing title",IF(C134="","Missing module",IF(J134="","Missing steps",IF(K134="","Missing expected result",IF(AND(F134=St_Failed,L134=""),"Add actual result","OK"))))))))</f>
        <v/>
      </c>
    </row>
    <row r="135" ht="32" customHeight="1">
      <c r="A135" s="44" t="n"/>
      <c r="B135" s="45" t="n"/>
      <c r="C135" s="45" t="n"/>
      <c r="D135" s="45" t="n"/>
      <c r="E135" s="44" t="n"/>
      <c r="F135" s="44" t="n"/>
      <c r="G135" s="44" t="n"/>
      <c r="H135" s="45" t="n"/>
      <c r="I135" s="45" t="n"/>
      <c r="J135" s="45" t="n"/>
      <c r="K135" s="45" t="n"/>
      <c r="L135" s="45" t="n"/>
      <c r="M135" s="45" t="n"/>
      <c r="N135" s="45" t="n"/>
      <c r="O135" s="46" t="n"/>
      <c r="P135" s="45" t="n"/>
      <c r="Q135" s="45" t="n"/>
      <c r="R135" s="45" t="str">
        <f>IF(AND(A135="",B135=""),"",IF(A135="","Missing ID",IF(COUNTIF($A:$A,A135)&gt;1,"Duplicate ID",IF(B135="","Missing title",IF(C135="","Missing module",IF(J135="","Missing steps",IF(K135="","Missing expected result",IF(AND(F135=St_Failed,L135=""),"Add actual result","OK"))))))))</f>
        <v/>
      </c>
    </row>
    <row r="136" ht="32" customHeight="1">
      <c r="A136" s="44" t="n"/>
      <c r="B136" s="45" t="n"/>
      <c r="C136" s="45" t="n"/>
      <c r="D136" s="45" t="n"/>
      <c r="E136" s="44" t="n"/>
      <c r="F136" s="44" t="n"/>
      <c r="G136" s="44" t="n"/>
      <c r="H136" s="45" t="n"/>
      <c r="I136" s="45" t="n"/>
      <c r="J136" s="45" t="n"/>
      <c r="K136" s="45" t="n"/>
      <c r="L136" s="45" t="n"/>
      <c r="M136" s="45" t="n"/>
      <c r="N136" s="45" t="n"/>
      <c r="O136" s="46" t="n"/>
      <c r="P136" s="45" t="n"/>
      <c r="Q136" s="45" t="n"/>
      <c r="R136" s="45" t="str">
        <f>IF(AND(A136="",B136=""),"",IF(A136="","Missing ID",IF(COUNTIF($A:$A,A136)&gt;1,"Duplicate ID",IF(B136="","Missing title",IF(C136="","Missing module",IF(J136="","Missing steps",IF(K136="","Missing expected result",IF(AND(F136=St_Failed,L136=""),"Add actual result","OK"))))))))</f>
        <v/>
      </c>
    </row>
    <row r="137" ht="32" customHeight="1">
      <c r="A137" s="44" t="n"/>
      <c r="B137" s="45" t="n"/>
      <c r="C137" s="45" t="n"/>
      <c r="D137" s="45" t="n"/>
      <c r="E137" s="44" t="n"/>
      <c r="F137" s="44" t="n"/>
      <c r="G137" s="44" t="n"/>
      <c r="H137" s="45" t="n"/>
      <c r="I137" s="45" t="n"/>
      <c r="J137" s="45" t="n"/>
      <c r="K137" s="45" t="n"/>
      <c r="L137" s="45" t="n"/>
      <c r="M137" s="45" t="n"/>
      <c r="N137" s="45" t="n"/>
      <c r="O137" s="46" t="n"/>
      <c r="P137" s="45" t="n"/>
      <c r="Q137" s="45" t="n"/>
      <c r="R137" s="45" t="str">
        <f>IF(AND(A137="",B137=""),"",IF(A137="","Missing ID",IF(COUNTIF($A:$A,A137)&gt;1,"Duplicate ID",IF(B137="","Missing title",IF(C137="","Missing module",IF(J137="","Missing steps",IF(K137="","Missing expected result",IF(AND(F137=St_Failed,L137=""),"Add actual result","OK"))))))))</f>
        <v/>
      </c>
    </row>
    <row r="138" ht="32" customHeight="1">
      <c r="A138" s="44" t="n"/>
      <c r="B138" s="45" t="n"/>
      <c r="C138" s="45" t="n"/>
      <c r="D138" s="45" t="n"/>
      <c r="E138" s="44" t="n"/>
      <c r="F138" s="44" t="n"/>
      <c r="G138" s="44" t="n"/>
      <c r="H138" s="45" t="n"/>
      <c r="I138" s="45" t="n"/>
      <c r="J138" s="45" t="n"/>
      <c r="K138" s="45" t="n"/>
      <c r="L138" s="45" t="n"/>
      <c r="M138" s="45" t="n"/>
      <c r="N138" s="45" t="n"/>
      <c r="O138" s="46" t="n"/>
      <c r="P138" s="45" t="n"/>
      <c r="Q138" s="45" t="n"/>
      <c r="R138" s="45" t="str">
        <f>IF(AND(A138="",B138=""),"",IF(A138="","Missing ID",IF(COUNTIF($A:$A,A138)&gt;1,"Duplicate ID",IF(B138="","Missing title",IF(C138="","Missing module",IF(J138="","Missing steps",IF(K138="","Missing expected result",IF(AND(F138=St_Failed,L138=""),"Add actual result","OK"))))))))</f>
        <v/>
      </c>
    </row>
    <row r="139" ht="32" customHeight="1">
      <c r="A139" s="44" t="n"/>
      <c r="B139" s="45" t="n"/>
      <c r="C139" s="45" t="n"/>
      <c r="D139" s="45" t="n"/>
      <c r="E139" s="44" t="n"/>
      <c r="F139" s="44" t="n"/>
      <c r="G139" s="44" t="n"/>
      <c r="H139" s="45" t="n"/>
      <c r="I139" s="45" t="n"/>
      <c r="J139" s="45" t="n"/>
      <c r="K139" s="45" t="n"/>
      <c r="L139" s="45" t="n"/>
      <c r="M139" s="45" t="n"/>
      <c r="N139" s="45" t="n"/>
      <c r="O139" s="46" t="n"/>
      <c r="P139" s="45" t="n"/>
      <c r="Q139" s="45" t="n"/>
      <c r="R139" s="45" t="str">
        <f>IF(AND(A139="",B139=""),"",IF(A139="","Missing ID",IF(COUNTIF($A:$A,A139)&gt;1,"Duplicate ID",IF(B139="","Missing title",IF(C139="","Missing module",IF(J139="","Missing steps",IF(K139="","Missing expected result",IF(AND(F139=St_Failed,L139=""),"Add actual result","OK"))))))))</f>
        <v/>
      </c>
    </row>
    <row r="140" ht="32" customHeight="1">
      <c r="A140" s="44" t="n"/>
      <c r="B140" s="45" t="n"/>
      <c r="C140" s="45" t="n"/>
      <c r="D140" s="45" t="n"/>
      <c r="E140" s="44" t="n"/>
      <c r="F140" s="44" t="n"/>
      <c r="G140" s="44" t="n"/>
      <c r="H140" s="45" t="n"/>
      <c r="I140" s="45" t="n"/>
      <c r="J140" s="45" t="n"/>
      <c r="K140" s="45" t="n"/>
      <c r="L140" s="45" t="n"/>
      <c r="M140" s="45" t="n"/>
      <c r="N140" s="45" t="n"/>
      <c r="O140" s="46" t="n"/>
      <c r="P140" s="45" t="n"/>
      <c r="Q140" s="45" t="n"/>
      <c r="R140" s="45" t="str">
        <f>IF(AND(A140="",B140=""),"",IF(A140="","Missing ID",IF(COUNTIF($A:$A,A140)&gt;1,"Duplicate ID",IF(B140="","Missing title",IF(C140="","Missing module",IF(J140="","Missing steps",IF(K140="","Missing expected result",IF(AND(F140=St_Failed,L140=""),"Add actual result","OK"))))))))</f>
        <v/>
      </c>
    </row>
    <row r="141" ht="32" customHeight="1">
      <c r="A141" s="44" t="n"/>
      <c r="B141" s="45" t="n"/>
      <c r="C141" s="45" t="n"/>
      <c r="D141" s="45" t="n"/>
      <c r="E141" s="44" t="n"/>
      <c r="F141" s="44" t="n"/>
      <c r="G141" s="44" t="n"/>
      <c r="H141" s="45" t="n"/>
      <c r="I141" s="45" t="n"/>
      <c r="J141" s="45" t="n"/>
      <c r="K141" s="45" t="n"/>
      <c r="L141" s="45" t="n"/>
      <c r="M141" s="45" t="n"/>
      <c r="N141" s="45" t="n"/>
      <c r="O141" s="46" t="n"/>
      <c r="P141" s="45" t="n"/>
      <c r="Q141" s="45" t="n"/>
      <c r="R141" s="45" t="str">
        <f>IF(AND(A141="",B141=""),"",IF(A141="","Missing ID",IF(COUNTIF($A:$A,A141)&gt;1,"Duplicate ID",IF(B141="","Missing title",IF(C141="","Missing module",IF(J141="","Missing steps",IF(K141="","Missing expected result",IF(AND(F141=St_Failed,L141=""),"Add actual result","OK"))))))))</f>
        <v/>
      </c>
    </row>
    <row r="142" ht="32" customHeight="1">
      <c r="A142" s="44" t="n"/>
      <c r="B142" s="45" t="n"/>
      <c r="C142" s="45" t="n"/>
      <c r="D142" s="45" t="n"/>
      <c r="E142" s="44" t="n"/>
      <c r="F142" s="44" t="n"/>
      <c r="G142" s="44" t="n"/>
      <c r="H142" s="45" t="n"/>
      <c r="I142" s="45" t="n"/>
      <c r="J142" s="45" t="n"/>
      <c r="K142" s="45" t="n"/>
      <c r="L142" s="45" t="n"/>
      <c r="M142" s="45" t="n"/>
      <c r="N142" s="45" t="n"/>
      <c r="O142" s="46" t="n"/>
      <c r="P142" s="45" t="n"/>
      <c r="Q142" s="45" t="n"/>
      <c r="R142" s="45" t="str">
        <f>IF(AND(A142="",B142=""),"",IF(A142="","Missing ID",IF(COUNTIF($A:$A,A142)&gt;1,"Duplicate ID",IF(B142="","Missing title",IF(C142="","Missing module",IF(J142="","Missing steps",IF(K142="","Missing expected result",IF(AND(F142=St_Failed,L142=""),"Add actual result","OK"))))))))</f>
        <v/>
      </c>
    </row>
    <row r="143" ht="32" customHeight="1">
      <c r="A143" s="44" t="n"/>
      <c r="B143" s="45" t="n"/>
      <c r="C143" s="45" t="n"/>
      <c r="D143" s="45" t="n"/>
      <c r="E143" s="44" t="n"/>
      <c r="F143" s="44" t="n"/>
      <c r="G143" s="44" t="n"/>
      <c r="H143" s="45" t="n"/>
      <c r="I143" s="45" t="n"/>
      <c r="J143" s="45" t="n"/>
      <c r="K143" s="45" t="n"/>
      <c r="L143" s="45" t="n"/>
      <c r="M143" s="45" t="n"/>
      <c r="N143" s="45" t="n"/>
      <c r="O143" s="46" t="n"/>
      <c r="P143" s="45" t="n"/>
      <c r="Q143" s="45" t="n"/>
      <c r="R143" s="45" t="str">
        <f>IF(AND(A143="",B143=""),"",IF(A143="","Missing ID",IF(COUNTIF($A:$A,A143)&gt;1,"Duplicate ID",IF(B143="","Missing title",IF(C143="","Missing module",IF(J143="","Missing steps",IF(K143="","Missing expected result",IF(AND(F143=St_Failed,L143=""),"Add actual result","OK"))))))))</f>
        <v/>
      </c>
    </row>
    <row r="144" ht="32" customHeight="1">
      <c r="A144" s="44" t="n"/>
      <c r="B144" s="45" t="n"/>
      <c r="C144" s="45" t="n"/>
      <c r="D144" s="45" t="n"/>
      <c r="E144" s="44" t="n"/>
      <c r="F144" s="44" t="n"/>
      <c r="G144" s="44" t="n"/>
      <c r="H144" s="45" t="n"/>
      <c r="I144" s="45" t="n"/>
      <c r="J144" s="45" t="n"/>
      <c r="K144" s="45" t="n"/>
      <c r="L144" s="45" t="n"/>
      <c r="M144" s="45" t="n"/>
      <c r="N144" s="45" t="n"/>
      <c r="O144" s="46" t="n"/>
      <c r="P144" s="45" t="n"/>
      <c r="Q144" s="45" t="n"/>
      <c r="R144" s="45" t="str">
        <f>IF(AND(A144="",B144=""),"",IF(A144="","Missing ID",IF(COUNTIF($A:$A,A144)&gt;1,"Duplicate ID",IF(B144="","Missing title",IF(C144="","Missing module",IF(J144="","Missing steps",IF(K144="","Missing expected result",IF(AND(F144=St_Failed,L144=""),"Add actual result","OK"))))))))</f>
        <v/>
      </c>
    </row>
    <row r="145" ht="32" customHeight="1">
      <c r="A145" s="44" t="n"/>
      <c r="B145" s="45" t="n"/>
      <c r="C145" s="45" t="n"/>
      <c r="D145" s="45" t="n"/>
      <c r="E145" s="44" t="n"/>
      <c r="F145" s="44" t="n"/>
      <c r="G145" s="44" t="n"/>
      <c r="H145" s="45" t="n"/>
      <c r="I145" s="45" t="n"/>
      <c r="J145" s="45" t="n"/>
      <c r="K145" s="45" t="n"/>
      <c r="L145" s="45" t="n"/>
      <c r="M145" s="45" t="n"/>
      <c r="N145" s="45" t="n"/>
      <c r="O145" s="46" t="n"/>
      <c r="P145" s="45" t="n"/>
      <c r="Q145" s="45" t="n"/>
      <c r="R145" s="45" t="str">
        <f>IF(AND(A145="",B145=""),"",IF(A145="","Missing ID",IF(COUNTIF($A:$A,A145)&gt;1,"Duplicate ID",IF(B145="","Missing title",IF(C145="","Missing module",IF(J145="","Missing steps",IF(K145="","Missing expected result",IF(AND(F145=St_Failed,L145=""),"Add actual result","OK"))))))))</f>
        <v/>
      </c>
    </row>
    <row r="146" ht="32" customHeight="1">
      <c r="A146" s="44" t="n"/>
      <c r="B146" s="45" t="n"/>
      <c r="C146" s="45" t="n"/>
      <c r="D146" s="45" t="n"/>
      <c r="E146" s="44" t="n"/>
      <c r="F146" s="44" t="n"/>
      <c r="G146" s="44" t="n"/>
      <c r="H146" s="45" t="n"/>
      <c r="I146" s="45" t="n"/>
      <c r="J146" s="45" t="n"/>
      <c r="K146" s="45" t="n"/>
      <c r="L146" s="45" t="n"/>
      <c r="M146" s="45" t="n"/>
      <c r="N146" s="45" t="n"/>
      <c r="O146" s="46" t="n"/>
      <c r="P146" s="45" t="n"/>
      <c r="Q146" s="45" t="n"/>
      <c r="R146" s="45" t="str">
        <f>IF(AND(A146="",B146=""),"",IF(A146="","Missing ID",IF(COUNTIF($A:$A,A146)&gt;1,"Duplicate ID",IF(B146="","Missing title",IF(C146="","Missing module",IF(J146="","Missing steps",IF(K146="","Missing expected result",IF(AND(F146=St_Failed,L146=""),"Add actual result","OK"))))))))</f>
        <v/>
      </c>
    </row>
    <row r="147" ht="32" customHeight="1">
      <c r="A147" s="44" t="n"/>
      <c r="B147" s="45" t="n"/>
      <c r="C147" s="45" t="n"/>
      <c r="D147" s="45" t="n"/>
      <c r="E147" s="44" t="n"/>
      <c r="F147" s="44" t="n"/>
      <c r="G147" s="44" t="n"/>
      <c r="H147" s="45" t="n"/>
      <c r="I147" s="45" t="n"/>
      <c r="J147" s="45" t="n"/>
      <c r="K147" s="45" t="n"/>
      <c r="L147" s="45" t="n"/>
      <c r="M147" s="45" t="n"/>
      <c r="N147" s="45" t="n"/>
      <c r="O147" s="46" t="n"/>
      <c r="P147" s="45" t="n"/>
      <c r="Q147" s="45" t="n"/>
      <c r="R147" s="45" t="str">
        <f>IF(AND(A147="",B147=""),"",IF(A147="","Missing ID",IF(COUNTIF($A:$A,A147)&gt;1,"Duplicate ID",IF(B147="","Missing title",IF(C147="","Missing module",IF(J147="","Missing steps",IF(K147="","Missing expected result",IF(AND(F147=St_Failed,L147=""),"Add actual result","OK"))))))))</f>
        <v/>
      </c>
    </row>
    <row r="148" ht="32" customHeight="1">
      <c r="A148" s="44" t="n"/>
      <c r="B148" s="45" t="n"/>
      <c r="C148" s="45" t="n"/>
      <c r="D148" s="45" t="n"/>
      <c r="E148" s="44" t="n"/>
      <c r="F148" s="44" t="n"/>
      <c r="G148" s="44" t="n"/>
      <c r="H148" s="45" t="n"/>
      <c r="I148" s="45" t="n"/>
      <c r="J148" s="45" t="n"/>
      <c r="K148" s="45" t="n"/>
      <c r="L148" s="45" t="n"/>
      <c r="M148" s="45" t="n"/>
      <c r="N148" s="45" t="n"/>
      <c r="O148" s="46" t="n"/>
      <c r="P148" s="45" t="n"/>
      <c r="Q148" s="45" t="n"/>
      <c r="R148" s="45" t="str">
        <f>IF(AND(A148="",B148=""),"",IF(A148="","Missing ID",IF(COUNTIF($A:$A,A148)&gt;1,"Duplicate ID",IF(B148="","Missing title",IF(C148="","Missing module",IF(J148="","Missing steps",IF(K148="","Missing expected result",IF(AND(F148=St_Failed,L148=""),"Add actual result","OK"))))))))</f>
        <v/>
      </c>
    </row>
    <row r="149" ht="32" customHeight="1">
      <c r="A149" s="44" t="n"/>
      <c r="B149" s="45" t="n"/>
      <c r="C149" s="45" t="n"/>
      <c r="D149" s="45" t="n"/>
      <c r="E149" s="44" t="n"/>
      <c r="F149" s="44" t="n"/>
      <c r="G149" s="44" t="n"/>
      <c r="H149" s="45" t="n"/>
      <c r="I149" s="45" t="n"/>
      <c r="J149" s="45" t="n"/>
      <c r="K149" s="45" t="n"/>
      <c r="L149" s="45" t="n"/>
      <c r="M149" s="45" t="n"/>
      <c r="N149" s="45" t="n"/>
      <c r="O149" s="46" t="n"/>
      <c r="P149" s="45" t="n"/>
      <c r="Q149" s="45" t="n"/>
      <c r="R149" s="45" t="str">
        <f>IF(AND(A149="",B149=""),"",IF(A149="","Missing ID",IF(COUNTIF($A:$A,A149)&gt;1,"Duplicate ID",IF(B149="","Missing title",IF(C149="","Missing module",IF(J149="","Missing steps",IF(K149="","Missing expected result",IF(AND(F149=St_Failed,L149=""),"Add actual result","OK"))))))))</f>
        <v/>
      </c>
    </row>
    <row r="150" ht="32" customHeight="1">
      <c r="A150" s="44" t="n"/>
      <c r="B150" s="45" t="n"/>
      <c r="C150" s="45" t="n"/>
      <c r="D150" s="45" t="n"/>
      <c r="E150" s="44" t="n"/>
      <c r="F150" s="44" t="n"/>
      <c r="G150" s="44" t="n"/>
      <c r="H150" s="45" t="n"/>
      <c r="I150" s="45" t="n"/>
      <c r="J150" s="45" t="n"/>
      <c r="K150" s="45" t="n"/>
      <c r="L150" s="45" t="n"/>
      <c r="M150" s="45" t="n"/>
      <c r="N150" s="45" t="n"/>
      <c r="O150" s="46" t="n"/>
      <c r="P150" s="45" t="n"/>
      <c r="Q150" s="45" t="n"/>
      <c r="R150" s="45" t="str">
        <f>IF(AND(A150="",B150=""),"",IF(A150="","Missing ID",IF(COUNTIF($A:$A,A150)&gt;1,"Duplicate ID",IF(B150="","Missing title",IF(C150="","Missing module",IF(J150="","Missing steps",IF(K150="","Missing expected result",IF(AND(F150=St_Failed,L150=""),"Add actual result","OK"))))))))</f>
        <v/>
      </c>
    </row>
    <row r="151" ht="32" customHeight="1">
      <c r="A151" s="44" t="n"/>
      <c r="B151" s="45" t="n"/>
      <c r="C151" s="45" t="n"/>
      <c r="D151" s="45" t="n"/>
      <c r="E151" s="44" t="n"/>
      <c r="F151" s="44" t="n"/>
      <c r="G151" s="44" t="n"/>
      <c r="H151" s="45" t="n"/>
      <c r="I151" s="45" t="n"/>
      <c r="J151" s="45" t="n"/>
      <c r="K151" s="45" t="n"/>
      <c r="L151" s="45" t="n"/>
      <c r="M151" s="45" t="n"/>
      <c r="N151" s="45" t="n"/>
      <c r="O151" s="46" t="n"/>
      <c r="P151" s="45" t="n"/>
      <c r="Q151" s="45" t="n"/>
      <c r="R151" s="45" t="str">
        <f>IF(AND(A151="",B151=""),"",IF(A151="","Missing ID",IF(COUNTIF($A:$A,A151)&gt;1,"Duplicate ID",IF(B151="","Missing title",IF(C151="","Missing module",IF(J151="","Missing steps",IF(K151="","Missing expected result",IF(AND(F151=St_Failed,L151=""),"Add actual result","OK"))))))))</f>
        <v/>
      </c>
    </row>
    <row r="152" ht="32" customHeight="1">
      <c r="A152" s="44" t="n"/>
      <c r="B152" s="45" t="n"/>
      <c r="C152" s="45" t="n"/>
      <c r="D152" s="45" t="n"/>
      <c r="E152" s="44" t="n"/>
      <c r="F152" s="44" t="n"/>
      <c r="G152" s="44" t="n"/>
      <c r="H152" s="45" t="n"/>
      <c r="I152" s="45" t="n"/>
      <c r="J152" s="45" t="n"/>
      <c r="K152" s="45" t="n"/>
      <c r="L152" s="45" t="n"/>
      <c r="M152" s="45" t="n"/>
      <c r="N152" s="45" t="n"/>
      <c r="O152" s="46" t="n"/>
      <c r="P152" s="45" t="n"/>
      <c r="Q152" s="45" t="n"/>
      <c r="R152" s="45" t="str">
        <f>IF(AND(A152="",B152=""),"",IF(A152="","Missing ID",IF(COUNTIF($A:$A,A152)&gt;1,"Duplicate ID",IF(B152="","Missing title",IF(C152="","Missing module",IF(J152="","Missing steps",IF(K152="","Missing expected result",IF(AND(F152=St_Failed,L152=""),"Add actual result","OK"))))))))</f>
        <v/>
      </c>
    </row>
    <row r="153" ht="32" customHeight="1">
      <c r="A153" s="44" t="n"/>
      <c r="B153" s="45" t="n"/>
      <c r="C153" s="45" t="n"/>
      <c r="D153" s="45" t="n"/>
      <c r="E153" s="44" t="n"/>
      <c r="F153" s="44" t="n"/>
      <c r="G153" s="44" t="n"/>
      <c r="H153" s="45" t="n"/>
      <c r="I153" s="45" t="n"/>
      <c r="J153" s="45" t="n"/>
      <c r="K153" s="45" t="n"/>
      <c r="L153" s="45" t="n"/>
      <c r="M153" s="45" t="n"/>
      <c r="N153" s="45" t="n"/>
      <c r="O153" s="46" t="n"/>
      <c r="P153" s="45" t="n"/>
      <c r="Q153" s="45" t="n"/>
      <c r="R153" s="45" t="str">
        <f>IF(AND(A153="",B153=""),"",IF(A153="","Missing ID",IF(COUNTIF($A:$A,A153)&gt;1,"Duplicate ID",IF(B153="","Missing title",IF(C153="","Missing module",IF(J153="","Missing steps",IF(K153="","Missing expected result",IF(AND(F153=St_Failed,L153=""),"Add actual result","OK"))))))))</f>
        <v/>
      </c>
    </row>
    <row r="154" ht="32" customHeight="1">
      <c r="A154" s="44" t="n"/>
      <c r="B154" s="45" t="n"/>
      <c r="C154" s="45" t="n"/>
      <c r="D154" s="45" t="n"/>
      <c r="E154" s="44" t="n"/>
      <c r="F154" s="44" t="n"/>
      <c r="G154" s="44" t="n"/>
      <c r="H154" s="45" t="n"/>
      <c r="I154" s="45" t="n"/>
      <c r="J154" s="45" t="n"/>
      <c r="K154" s="45" t="n"/>
      <c r="L154" s="45" t="n"/>
      <c r="M154" s="45" t="n"/>
      <c r="N154" s="45" t="n"/>
      <c r="O154" s="46" t="n"/>
      <c r="P154" s="45" t="n"/>
      <c r="Q154" s="45" t="n"/>
      <c r="R154" s="45" t="str">
        <f>IF(AND(A154="",B154=""),"",IF(A154="","Missing ID",IF(COUNTIF($A:$A,A154)&gt;1,"Duplicate ID",IF(B154="","Missing title",IF(C154="","Missing module",IF(J154="","Missing steps",IF(K154="","Missing expected result",IF(AND(F154=St_Failed,L154=""),"Add actual result","OK"))))))))</f>
        <v/>
      </c>
    </row>
    <row r="155" ht="32" customHeight="1">
      <c r="A155" s="44" t="n"/>
      <c r="B155" s="45" t="n"/>
      <c r="C155" s="45" t="n"/>
      <c r="D155" s="45" t="n"/>
      <c r="E155" s="44" t="n"/>
      <c r="F155" s="44" t="n"/>
      <c r="G155" s="44" t="n"/>
      <c r="H155" s="45" t="n"/>
      <c r="I155" s="45" t="n"/>
      <c r="J155" s="45" t="n"/>
      <c r="K155" s="45" t="n"/>
      <c r="L155" s="45" t="n"/>
      <c r="M155" s="45" t="n"/>
      <c r="N155" s="45" t="n"/>
      <c r="O155" s="46" t="n"/>
      <c r="P155" s="45" t="n"/>
      <c r="Q155" s="45" t="n"/>
      <c r="R155" s="45" t="str">
        <f>IF(AND(A155="",B155=""),"",IF(A155="","Missing ID",IF(COUNTIF($A:$A,A155)&gt;1,"Duplicate ID",IF(B155="","Missing title",IF(C155="","Missing module",IF(J155="","Missing steps",IF(K155="","Missing expected result",IF(AND(F155=St_Failed,L155=""),"Add actual result","OK"))))))))</f>
        <v/>
      </c>
    </row>
    <row r="156" ht="32" customHeight="1">
      <c r="A156" s="44" t="n"/>
      <c r="B156" s="45" t="n"/>
      <c r="C156" s="45" t="n"/>
      <c r="D156" s="45" t="n"/>
      <c r="E156" s="44" t="n"/>
      <c r="F156" s="44" t="n"/>
      <c r="G156" s="44" t="n"/>
      <c r="H156" s="45" t="n"/>
      <c r="I156" s="45" t="n"/>
      <c r="J156" s="45" t="n"/>
      <c r="K156" s="45" t="n"/>
      <c r="L156" s="45" t="n"/>
      <c r="M156" s="45" t="n"/>
      <c r="N156" s="45" t="n"/>
      <c r="O156" s="46" t="n"/>
      <c r="P156" s="45" t="n"/>
      <c r="Q156" s="45" t="n"/>
      <c r="R156" s="45" t="str">
        <f>IF(AND(A156="",B156=""),"",IF(A156="","Missing ID",IF(COUNTIF($A:$A,A156)&gt;1,"Duplicate ID",IF(B156="","Missing title",IF(C156="","Missing module",IF(J156="","Missing steps",IF(K156="","Missing expected result",IF(AND(F156=St_Failed,L156=""),"Add actual result","OK"))))))))</f>
        <v/>
      </c>
    </row>
    <row r="157" ht="32" customHeight="1">
      <c r="A157" s="44" t="n"/>
      <c r="B157" s="45" t="n"/>
      <c r="C157" s="45" t="n"/>
      <c r="D157" s="45" t="n"/>
      <c r="E157" s="44" t="n"/>
      <c r="F157" s="44" t="n"/>
      <c r="G157" s="44" t="n"/>
      <c r="H157" s="45" t="n"/>
      <c r="I157" s="45" t="n"/>
      <c r="J157" s="45" t="n"/>
      <c r="K157" s="45" t="n"/>
      <c r="L157" s="45" t="n"/>
      <c r="M157" s="45" t="n"/>
      <c r="N157" s="45" t="n"/>
      <c r="O157" s="46" t="n"/>
      <c r="P157" s="45" t="n"/>
      <c r="Q157" s="45" t="n"/>
      <c r="R157" s="45" t="str">
        <f>IF(AND(A157="",B157=""),"",IF(A157="","Missing ID",IF(COUNTIF($A:$A,A157)&gt;1,"Duplicate ID",IF(B157="","Missing title",IF(C157="","Missing module",IF(J157="","Missing steps",IF(K157="","Missing expected result",IF(AND(F157=St_Failed,L157=""),"Add actual result","OK"))))))))</f>
        <v/>
      </c>
    </row>
    <row r="158" ht="32" customHeight="1">
      <c r="A158" s="44" t="n"/>
      <c r="B158" s="45" t="n"/>
      <c r="C158" s="45" t="n"/>
      <c r="D158" s="45" t="n"/>
      <c r="E158" s="44" t="n"/>
      <c r="F158" s="44" t="n"/>
      <c r="G158" s="44" t="n"/>
      <c r="H158" s="45" t="n"/>
      <c r="I158" s="45" t="n"/>
      <c r="J158" s="45" t="n"/>
      <c r="K158" s="45" t="n"/>
      <c r="L158" s="45" t="n"/>
      <c r="M158" s="45" t="n"/>
      <c r="N158" s="45" t="n"/>
      <c r="O158" s="46" t="n"/>
      <c r="P158" s="45" t="n"/>
      <c r="Q158" s="45" t="n"/>
      <c r="R158" s="45" t="str">
        <f>IF(AND(A158="",B158=""),"",IF(A158="","Missing ID",IF(COUNTIF($A:$A,A158)&gt;1,"Duplicate ID",IF(B158="","Missing title",IF(C158="","Missing module",IF(J158="","Missing steps",IF(K158="","Missing expected result",IF(AND(F158=St_Failed,L158=""),"Add actual result","OK"))))))))</f>
        <v/>
      </c>
    </row>
    <row r="159" ht="32" customHeight="1">
      <c r="A159" s="44" t="n"/>
      <c r="B159" s="45" t="n"/>
      <c r="C159" s="45" t="n"/>
      <c r="D159" s="45" t="n"/>
      <c r="E159" s="44" t="n"/>
      <c r="F159" s="44" t="n"/>
      <c r="G159" s="44" t="n"/>
      <c r="H159" s="45" t="n"/>
      <c r="I159" s="45" t="n"/>
      <c r="J159" s="45" t="n"/>
      <c r="K159" s="45" t="n"/>
      <c r="L159" s="45" t="n"/>
      <c r="M159" s="45" t="n"/>
      <c r="N159" s="45" t="n"/>
      <c r="O159" s="46" t="n"/>
      <c r="P159" s="45" t="n"/>
      <c r="Q159" s="45" t="n"/>
      <c r="R159" s="45" t="str">
        <f>IF(AND(A159="",B159=""),"",IF(A159="","Missing ID",IF(COUNTIF($A:$A,A159)&gt;1,"Duplicate ID",IF(B159="","Missing title",IF(C159="","Missing module",IF(J159="","Missing steps",IF(K159="","Missing expected result",IF(AND(F159=St_Failed,L159=""),"Add actual result","OK"))))))))</f>
        <v/>
      </c>
    </row>
    <row r="160" ht="32" customHeight="1">
      <c r="A160" s="44" t="n"/>
      <c r="B160" s="45" t="n"/>
      <c r="C160" s="45" t="n"/>
      <c r="D160" s="45" t="n"/>
      <c r="E160" s="44" t="n"/>
      <c r="F160" s="44" t="n"/>
      <c r="G160" s="44" t="n"/>
      <c r="H160" s="45" t="n"/>
      <c r="I160" s="45" t="n"/>
      <c r="J160" s="45" t="n"/>
      <c r="K160" s="45" t="n"/>
      <c r="L160" s="45" t="n"/>
      <c r="M160" s="45" t="n"/>
      <c r="N160" s="45" t="n"/>
      <c r="O160" s="46" t="n"/>
      <c r="P160" s="45" t="n"/>
      <c r="Q160" s="45" t="n"/>
      <c r="R160" s="45" t="str">
        <f>IF(AND(A160="",B160=""),"",IF(A160="","Missing ID",IF(COUNTIF($A:$A,A160)&gt;1,"Duplicate ID",IF(B160="","Missing title",IF(C160="","Missing module",IF(J160="","Missing steps",IF(K160="","Missing expected result",IF(AND(F160=St_Failed,L160=""),"Add actual result","OK"))))))))</f>
        <v/>
      </c>
    </row>
    <row r="161" ht="32" customHeight="1">
      <c r="A161" s="44" t="n"/>
      <c r="B161" s="45" t="n"/>
      <c r="C161" s="45" t="n"/>
      <c r="D161" s="45" t="n"/>
      <c r="E161" s="44" t="n"/>
      <c r="F161" s="44" t="n"/>
      <c r="G161" s="44" t="n"/>
      <c r="H161" s="45" t="n"/>
      <c r="I161" s="45" t="n"/>
      <c r="J161" s="45" t="n"/>
      <c r="K161" s="45" t="n"/>
      <c r="L161" s="45" t="n"/>
      <c r="M161" s="45" t="n"/>
      <c r="N161" s="45" t="n"/>
      <c r="O161" s="46" t="n"/>
      <c r="P161" s="45" t="n"/>
      <c r="Q161" s="45" t="n"/>
      <c r="R161" s="45" t="str">
        <f>IF(AND(A161="",B161=""),"",IF(A161="","Missing ID",IF(COUNTIF($A:$A,A161)&gt;1,"Duplicate ID",IF(B161="","Missing title",IF(C161="","Missing module",IF(J161="","Missing steps",IF(K161="","Missing expected result",IF(AND(F161=St_Failed,L161=""),"Add actual result","OK"))))))))</f>
        <v/>
      </c>
    </row>
    <row r="162" ht="32" customHeight="1">
      <c r="A162" s="44" t="n"/>
      <c r="B162" s="45" t="n"/>
      <c r="C162" s="45" t="n"/>
      <c r="D162" s="45" t="n"/>
      <c r="E162" s="44" t="n"/>
      <c r="F162" s="44" t="n"/>
      <c r="G162" s="44" t="n"/>
      <c r="H162" s="45" t="n"/>
      <c r="I162" s="45" t="n"/>
      <c r="J162" s="45" t="n"/>
      <c r="K162" s="45" t="n"/>
      <c r="L162" s="45" t="n"/>
      <c r="M162" s="45" t="n"/>
      <c r="N162" s="45" t="n"/>
      <c r="O162" s="46" t="n"/>
      <c r="P162" s="45" t="n"/>
      <c r="Q162" s="45" t="n"/>
      <c r="R162" s="45" t="str">
        <f>IF(AND(A162="",B162=""),"",IF(A162="","Missing ID",IF(COUNTIF($A:$A,A162)&gt;1,"Duplicate ID",IF(B162="","Missing title",IF(C162="","Missing module",IF(J162="","Missing steps",IF(K162="","Missing expected result",IF(AND(F162=St_Failed,L162=""),"Add actual result","OK"))))))))</f>
        <v/>
      </c>
    </row>
    <row r="163" ht="32" customHeight="1">
      <c r="A163" s="44" t="n"/>
      <c r="B163" s="45" t="n"/>
      <c r="C163" s="45" t="n"/>
      <c r="D163" s="45" t="n"/>
      <c r="E163" s="44" t="n"/>
      <c r="F163" s="44" t="n"/>
      <c r="G163" s="44" t="n"/>
      <c r="H163" s="45" t="n"/>
      <c r="I163" s="45" t="n"/>
      <c r="J163" s="45" t="n"/>
      <c r="K163" s="45" t="n"/>
      <c r="L163" s="45" t="n"/>
      <c r="M163" s="45" t="n"/>
      <c r="N163" s="45" t="n"/>
      <c r="O163" s="46" t="n"/>
      <c r="P163" s="45" t="n"/>
      <c r="Q163" s="45" t="n"/>
      <c r="R163" s="45" t="str">
        <f>IF(AND(A163="",B163=""),"",IF(A163="","Missing ID",IF(COUNTIF($A:$A,A163)&gt;1,"Duplicate ID",IF(B163="","Missing title",IF(C163="","Missing module",IF(J163="","Missing steps",IF(K163="","Missing expected result",IF(AND(F163=St_Failed,L163=""),"Add actual result","OK"))))))))</f>
        <v/>
      </c>
    </row>
    <row r="164" ht="32" customHeight="1">
      <c r="A164" s="44" t="n"/>
      <c r="B164" s="45" t="n"/>
      <c r="C164" s="45" t="n"/>
      <c r="D164" s="45" t="n"/>
      <c r="E164" s="44" t="n"/>
      <c r="F164" s="44" t="n"/>
      <c r="G164" s="44" t="n"/>
      <c r="H164" s="45" t="n"/>
      <c r="I164" s="45" t="n"/>
      <c r="J164" s="45" t="n"/>
      <c r="K164" s="45" t="n"/>
      <c r="L164" s="45" t="n"/>
      <c r="M164" s="45" t="n"/>
      <c r="N164" s="45" t="n"/>
      <c r="O164" s="46" t="n"/>
      <c r="P164" s="45" t="n"/>
      <c r="Q164" s="45" t="n"/>
      <c r="R164" s="45" t="str">
        <f>IF(AND(A164="",B164=""),"",IF(A164="","Missing ID",IF(COUNTIF($A:$A,A164)&gt;1,"Duplicate ID",IF(B164="","Missing title",IF(C164="","Missing module",IF(J164="","Missing steps",IF(K164="","Missing expected result",IF(AND(F164=St_Failed,L164=""),"Add actual result","OK"))))))))</f>
        <v/>
      </c>
    </row>
    <row r="165" ht="32" customHeight="1">
      <c r="A165" s="44" t="n"/>
      <c r="B165" s="45" t="n"/>
      <c r="C165" s="45" t="n"/>
      <c r="D165" s="45" t="n"/>
      <c r="E165" s="44" t="n"/>
      <c r="F165" s="44" t="n"/>
      <c r="G165" s="44" t="n"/>
      <c r="H165" s="45" t="n"/>
      <c r="I165" s="45" t="n"/>
      <c r="J165" s="45" t="n"/>
      <c r="K165" s="45" t="n"/>
      <c r="L165" s="45" t="n"/>
      <c r="M165" s="45" t="n"/>
      <c r="N165" s="45" t="n"/>
      <c r="O165" s="46" t="n"/>
      <c r="P165" s="45" t="n"/>
      <c r="Q165" s="45" t="n"/>
      <c r="R165" s="45" t="str">
        <f>IF(AND(A165="",B165=""),"",IF(A165="","Missing ID",IF(COUNTIF($A:$A,A165)&gt;1,"Duplicate ID",IF(B165="","Missing title",IF(C165="","Missing module",IF(J165="","Missing steps",IF(K165="","Missing expected result",IF(AND(F165=St_Failed,L165=""),"Add actual result","OK"))))))))</f>
        <v/>
      </c>
    </row>
    <row r="166" ht="32" customHeight="1">
      <c r="A166" s="44" t="n"/>
      <c r="B166" s="45" t="n"/>
      <c r="C166" s="45" t="n"/>
      <c r="D166" s="45" t="n"/>
      <c r="E166" s="44" t="n"/>
      <c r="F166" s="44" t="n"/>
      <c r="G166" s="44" t="n"/>
      <c r="H166" s="45" t="n"/>
      <c r="I166" s="45" t="n"/>
      <c r="J166" s="45" t="n"/>
      <c r="K166" s="45" t="n"/>
      <c r="L166" s="45" t="n"/>
      <c r="M166" s="45" t="n"/>
      <c r="N166" s="45" t="n"/>
      <c r="O166" s="46" t="n"/>
      <c r="P166" s="45" t="n"/>
      <c r="Q166" s="45" t="n"/>
      <c r="R166" s="45" t="str">
        <f>IF(AND(A166="",B166=""),"",IF(A166="","Missing ID",IF(COUNTIF($A:$A,A166)&gt;1,"Duplicate ID",IF(B166="","Missing title",IF(C166="","Missing module",IF(J166="","Missing steps",IF(K166="","Missing expected result",IF(AND(F166=St_Failed,L166=""),"Add actual result","OK"))))))))</f>
        <v/>
      </c>
    </row>
    <row r="167" ht="32" customHeight="1">
      <c r="A167" s="44" t="n"/>
      <c r="B167" s="45" t="n"/>
      <c r="C167" s="45" t="n"/>
      <c r="D167" s="45" t="n"/>
      <c r="E167" s="44" t="n"/>
      <c r="F167" s="44" t="n"/>
      <c r="G167" s="44" t="n"/>
      <c r="H167" s="45" t="n"/>
      <c r="I167" s="45" t="n"/>
      <c r="J167" s="45" t="n"/>
      <c r="K167" s="45" t="n"/>
      <c r="L167" s="45" t="n"/>
      <c r="M167" s="45" t="n"/>
      <c r="N167" s="45" t="n"/>
      <c r="O167" s="46" t="n"/>
      <c r="P167" s="45" t="n"/>
      <c r="Q167" s="45" t="n"/>
      <c r="R167" s="45" t="str">
        <f>IF(AND(A167="",B167=""),"",IF(A167="","Missing ID",IF(COUNTIF($A:$A,A167)&gt;1,"Duplicate ID",IF(B167="","Missing title",IF(C167="","Missing module",IF(J167="","Missing steps",IF(K167="","Missing expected result",IF(AND(F167=St_Failed,L167=""),"Add actual result","OK"))))))))</f>
        <v/>
      </c>
    </row>
    <row r="168" ht="32" customHeight="1">
      <c r="A168" s="44" t="n"/>
      <c r="B168" s="45" t="n"/>
      <c r="C168" s="45" t="n"/>
      <c r="D168" s="45" t="n"/>
      <c r="E168" s="44" t="n"/>
      <c r="F168" s="44" t="n"/>
      <c r="G168" s="44" t="n"/>
      <c r="H168" s="45" t="n"/>
      <c r="I168" s="45" t="n"/>
      <c r="J168" s="45" t="n"/>
      <c r="K168" s="45" t="n"/>
      <c r="L168" s="45" t="n"/>
      <c r="M168" s="45" t="n"/>
      <c r="N168" s="45" t="n"/>
      <c r="O168" s="46" t="n"/>
      <c r="P168" s="45" t="n"/>
      <c r="Q168" s="45" t="n"/>
      <c r="R168" s="45" t="str">
        <f>IF(AND(A168="",B168=""),"",IF(A168="","Missing ID",IF(COUNTIF($A:$A,A168)&gt;1,"Duplicate ID",IF(B168="","Missing title",IF(C168="","Missing module",IF(J168="","Missing steps",IF(K168="","Missing expected result",IF(AND(F168=St_Failed,L168=""),"Add actual result","OK"))))))))</f>
        <v/>
      </c>
    </row>
    <row r="169" ht="32" customHeight="1">
      <c r="A169" s="44" t="n"/>
      <c r="B169" s="45" t="n"/>
      <c r="C169" s="45" t="n"/>
      <c r="D169" s="45" t="n"/>
      <c r="E169" s="44" t="n"/>
      <c r="F169" s="44" t="n"/>
      <c r="G169" s="44" t="n"/>
      <c r="H169" s="45" t="n"/>
      <c r="I169" s="45" t="n"/>
      <c r="J169" s="45" t="n"/>
      <c r="K169" s="45" t="n"/>
      <c r="L169" s="45" t="n"/>
      <c r="M169" s="45" t="n"/>
      <c r="N169" s="45" t="n"/>
      <c r="O169" s="46" t="n"/>
      <c r="P169" s="45" t="n"/>
      <c r="Q169" s="45" t="n"/>
      <c r="R169" s="45" t="str">
        <f>IF(AND(A169="",B169=""),"",IF(A169="","Missing ID",IF(COUNTIF($A:$A,A169)&gt;1,"Duplicate ID",IF(B169="","Missing title",IF(C169="","Missing module",IF(J169="","Missing steps",IF(K169="","Missing expected result",IF(AND(F169=St_Failed,L169=""),"Add actual result","OK"))))))))</f>
        <v/>
      </c>
    </row>
    <row r="170" ht="32" customHeight="1">
      <c r="A170" s="44" t="n"/>
      <c r="B170" s="45" t="n"/>
      <c r="C170" s="45" t="n"/>
      <c r="D170" s="45" t="n"/>
      <c r="E170" s="44" t="n"/>
      <c r="F170" s="44" t="n"/>
      <c r="G170" s="44" t="n"/>
      <c r="H170" s="45" t="n"/>
      <c r="I170" s="45" t="n"/>
      <c r="J170" s="45" t="n"/>
      <c r="K170" s="45" t="n"/>
      <c r="L170" s="45" t="n"/>
      <c r="M170" s="45" t="n"/>
      <c r="N170" s="45" t="n"/>
      <c r="O170" s="46" t="n"/>
      <c r="P170" s="45" t="n"/>
      <c r="Q170" s="45" t="n"/>
      <c r="R170" s="45" t="str">
        <f>IF(AND(A170="",B170=""),"",IF(A170="","Missing ID",IF(COUNTIF($A:$A,A170)&gt;1,"Duplicate ID",IF(B170="","Missing title",IF(C170="","Missing module",IF(J170="","Missing steps",IF(K170="","Missing expected result",IF(AND(F170=St_Failed,L170=""),"Add actual result","OK"))))))))</f>
        <v/>
      </c>
    </row>
    <row r="171" ht="32" customHeight="1">
      <c r="A171" s="44" t="n"/>
      <c r="B171" s="45" t="n"/>
      <c r="C171" s="45" t="n"/>
      <c r="D171" s="45" t="n"/>
      <c r="E171" s="44" t="n"/>
      <c r="F171" s="44" t="n"/>
      <c r="G171" s="44" t="n"/>
      <c r="H171" s="45" t="n"/>
      <c r="I171" s="45" t="n"/>
      <c r="J171" s="45" t="n"/>
      <c r="K171" s="45" t="n"/>
      <c r="L171" s="45" t="n"/>
      <c r="M171" s="45" t="n"/>
      <c r="N171" s="45" t="n"/>
      <c r="O171" s="46" t="n"/>
      <c r="P171" s="45" t="n"/>
      <c r="Q171" s="45" t="n"/>
      <c r="R171" s="45" t="str">
        <f>IF(AND(A171="",B171=""),"",IF(A171="","Missing ID",IF(COUNTIF($A:$A,A171)&gt;1,"Duplicate ID",IF(B171="","Missing title",IF(C171="","Missing module",IF(J171="","Missing steps",IF(K171="","Missing expected result",IF(AND(F171=St_Failed,L171=""),"Add actual result","OK"))))))))</f>
        <v/>
      </c>
    </row>
    <row r="172" ht="32" customHeight="1">
      <c r="A172" s="44" t="n"/>
      <c r="B172" s="45" t="n"/>
      <c r="C172" s="45" t="n"/>
      <c r="D172" s="45" t="n"/>
      <c r="E172" s="44" t="n"/>
      <c r="F172" s="44" t="n"/>
      <c r="G172" s="44" t="n"/>
      <c r="H172" s="45" t="n"/>
      <c r="I172" s="45" t="n"/>
      <c r="J172" s="45" t="n"/>
      <c r="K172" s="45" t="n"/>
      <c r="L172" s="45" t="n"/>
      <c r="M172" s="45" t="n"/>
      <c r="N172" s="45" t="n"/>
      <c r="O172" s="46" t="n"/>
      <c r="P172" s="45" t="n"/>
      <c r="Q172" s="45" t="n"/>
      <c r="R172" s="45" t="str">
        <f>IF(AND(A172="",B172=""),"",IF(A172="","Missing ID",IF(COUNTIF($A:$A,A172)&gt;1,"Duplicate ID",IF(B172="","Missing title",IF(C172="","Missing module",IF(J172="","Missing steps",IF(K172="","Missing expected result",IF(AND(F172=St_Failed,L172=""),"Add actual result","OK"))))))))</f>
        <v/>
      </c>
    </row>
    <row r="173" ht="32" customHeight="1">
      <c r="A173" s="44" t="n"/>
      <c r="B173" s="45" t="n"/>
      <c r="C173" s="45" t="n"/>
      <c r="D173" s="45" t="n"/>
      <c r="E173" s="44" t="n"/>
      <c r="F173" s="44" t="n"/>
      <c r="G173" s="44" t="n"/>
      <c r="H173" s="45" t="n"/>
      <c r="I173" s="45" t="n"/>
      <c r="J173" s="45" t="n"/>
      <c r="K173" s="45" t="n"/>
      <c r="L173" s="45" t="n"/>
      <c r="M173" s="45" t="n"/>
      <c r="N173" s="45" t="n"/>
      <c r="O173" s="46" t="n"/>
      <c r="P173" s="45" t="n"/>
      <c r="Q173" s="45" t="n"/>
      <c r="R173" s="45" t="str">
        <f>IF(AND(A173="",B173=""),"",IF(A173="","Missing ID",IF(COUNTIF($A:$A,A173)&gt;1,"Duplicate ID",IF(B173="","Missing title",IF(C173="","Missing module",IF(J173="","Missing steps",IF(K173="","Missing expected result",IF(AND(F173=St_Failed,L173=""),"Add actual result","OK"))))))))</f>
        <v/>
      </c>
    </row>
    <row r="174" ht="32" customHeight="1">
      <c r="A174" s="44" t="n"/>
      <c r="B174" s="45" t="n"/>
      <c r="C174" s="45" t="n"/>
      <c r="D174" s="45" t="n"/>
      <c r="E174" s="44" t="n"/>
      <c r="F174" s="44" t="n"/>
      <c r="G174" s="44" t="n"/>
      <c r="H174" s="45" t="n"/>
      <c r="I174" s="45" t="n"/>
      <c r="J174" s="45" t="n"/>
      <c r="K174" s="45" t="n"/>
      <c r="L174" s="45" t="n"/>
      <c r="M174" s="45" t="n"/>
      <c r="N174" s="45" t="n"/>
      <c r="O174" s="46" t="n"/>
      <c r="P174" s="45" t="n"/>
      <c r="Q174" s="45" t="n"/>
      <c r="R174" s="45" t="str">
        <f>IF(AND(A174="",B174=""),"",IF(A174="","Missing ID",IF(COUNTIF($A:$A,A174)&gt;1,"Duplicate ID",IF(B174="","Missing title",IF(C174="","Missing module",IF(J174="","Missing steps",IF(K174="","Missing expected result",IF(AND(F174=St_Failed,L174=""),"Add actual result","OK"))))))))</f>
        <v/>
      </c>
    </row>
    <row r="175" ht="32" customHeight="1">
      <c r="A175" s="44" t="n"/>
      <c r="B175" s="45" t="n"/>
      <c r="C175" s="45" t="n"/>
      <c r="D175" s="45" t="n"/>
      <c r="E175" s="44" t="n"/>
      <c r="F175" s="44" t="n"/>
      <c r="G175" s="44" t="n"/>
      <c r="H175" s="45" t="n"/>
      <c r="I175" s="45" t="n"/>
      <c r="J175" s="45" t="n"/>
      <c r="K175" s="45" t="n"/>
      <c r="L175" s="45" t="n"/>
      <c r="M175" s="45" t="n"/>
      <c r="N175" s="45" t="n"/>
      <c r="O175" s="46" t="n"/>
      <c r="P175" s="45" t="n"/>
      <c r="Q175" s="45" t="n"/>
      <c r="R175" s="45" t="str">
        <f>IF(AND(A175="",B175=""),"",IF(A175="","Missing ID",IF(COUNTIF($A:$A,A175)&gt;1,"Duplicate ID",IF(B175="","Missing title",IF(C175="","Missing module",IF(J175="","Missing steps",IF(K175="","Missing expected result",IF(AND(F175=St_Failed,L175=""),"Add actual result","OK"))))))))</f>
        <v/>
      </c>
    </row>
    <row r="176" ht="32" customHeight="1">
      <c r="A176" s="44" t="n"/>
      <c r="B176" s="45" t="n"/>
      <c r="C176" s="45" t="n"/>
      <c r="D176" s="45" t="n"/>
      <c r="E176" s="44" t="n"/>
      <c r="F176" s="44" t="n"/>
      <c r="G176" s="44" t="n"/>
      <c r="H176" s="45" t="n"/>
      <c r="I176" s="45" t="n"/>
      <c r="J176" s="45" t="n"/>
      <c r="K176" s="45" t="n"/>
      <c r="L176" s="45" t="n"/>
      <c r="M176" s="45" t="n"/>
      <c r="N176" s="45" t="n"/>
      <c r="O176" s="46" t="n"/>
      <c r="P176" s="45" t="n"/>
      <c r="Q176" s="45" t="n"/>
      <c r="R176" s="45" t="str">
        <f>IF(AND(A176="",B176=""),"",IF(A176="","Missing ID",IF(COUNTIF($A:$A,A176)&gt;1,"Duplicate ID",IF(B176="","Missing title",IF(C176="","Missing module",IF(J176="","Missing steps",IF(K176="","Missing expected result",IF(AND(F176=St_Failed,L176=""),"Add actual result","OK"))))))))</f>
        <v/>
      </c>
    </row>
    <row r="177" ht="32" customHeight="1">
      <c r="A177" s="44" t="n"/>
      <c r="B177" s="45" t="n"/>
      <c r="C177" s="45" t="n"/>
      <c r="D177" s="45" t="n"/>
      <c r="E177" s="44" t="n"/>
      <c r="F177" s="44" t="n"/>
      <c r="G177" s="44" t="n"/>
      <c r="H177" s="45" t="n"/>
      <c r="I177" s="45" t="n"/>
      <c r="J177" s="45" t="n"/>
      <c r="K177" s="45" t="n"/>
      <c r="L177" s="45" t="n"/>
      <c r="M177" s="45" t="n"/>
      <c r="N177" s="45" t="n"/>
      <c r="O177" s="46" t="n"/>
      <c r="P177" s="45" t="n"/>
      <c r="Q177" s="45" t="n"/>
      <c r="R177" s="45" t="str">
        <f>IF(AND(A177="",B177=""),"",IF(A177="","Missing ID",IF(COUNTIF($A:$A,A177)&gt;1,"Duplicate ID",IF(B177="","Missing title",IF(C177="","Missing module",IF(J177="","Missing steps",IF(K177="","Missing expected result",IF(AND(F177=St_Failed,L177=""),"Add actual result","OK"))))))))</f>
        <v/>
      </c>
    </row>
    <row r="178" ht="32" customHeight="1">
      <c r="A178" s="44" t="n"/>
      <c r="B178" s="45" t="n"/>
      <c r="C178" s="45" t="n"/>
      <c r="D178" s="45" t="n"/>
      <c r="E178" s="44" t="n"/>
      <c r="F178" s="44" t="n"/>
      <c r="G178" s="44" t="n"/>
      <c r="H178" s="45" t="n"/>
      <c r="I178" s="45" t="n"/>
      <c r="J178" s="45" t="n"/>
      <c r="K178" s="45" t="n"/>
      <c r="L178" s="45" t="n"/>
      <c r="M178" s="45" t="n"/>
      <c r="N178" s="45" t="n"/>
      <c r="O178" s="46" t="n"/>
      <c r="P178" s="45" t="n"/>
      <c r="Q178" s="45" t="n"/>
      <c r="R178" s="45" t="str">
        <f>IF(AND(A178="",B178=""),"",IF(A178="","Missing ID",IF(COUNTIF($A:$A,A178)&gt;1,"Duplicate ID",IF(B178="","Missing title",IF(C178="","Missing module",IF(J178="","Missing steps",IF(K178="","Missing expected result",IF(AND(F178=St_Failed,L178=""),"Add actual result","OK"))))))))</f>
        <v/>
      </c>
    </row>
    <row r="179" ht="32" customHeight="1">
      <c r="A179" s="44" t="n"/>
      <c r="B179" s="45" t="n"/>
      <c r="C179" s="45" t="n"/>
      <c r="D179" s="45" t="n"/>
      <c r="E179" s="44" t="n"/>
      <c r="F179" s="44" t="n"/>
      <c r="G179" s="44" t="n"/>
      <c r="H179" s="45" t="n"/>
      <c r="I179" s="45" t="n"/>
      <c r="J179" s="45" t="n"/>
      <c r="K179" s="45" t="n"/>
      <c r="L179" s="45" t="n"/>
      <c r="M179" s="45" t="n"/>
      <c r="N179" s="45" t="n"/>
      <c r="O179" s="46" t="n"/>
      <c r="P179" s="45" t="n"/>
      <c r="Q179" s="45" t="n"/>
      <c r="R179" s="45" t="str">
        <f>IF(AND(A179="",B179=""),"",IF(A179="","Missing ID",IF(COUNTIF($A:$A,A179)&gt;1,"Duplicate ID",IF(B179="","Missing title",IF(C179="","Missing module",IF(J179="","Missing steps",IF(K179="","Missing expected result",IF(AND(F179=St_Failed,L179=""),"Add actual result","OK"))))))))</f>
        <v/>
      </c>
    </row>
    <row r="180" ht="32" customHeight="1">
      <c r="A180" s="44" t="n"/>
      <c r="B180" s="45" t="n"/>
      <c r="C180" s="45" t="n"/>
      <c r="D180" s="45" t="n"/>
      <c r="E180" s="44" t="n"/>
      <c r="F180" s="44" t="n"/>
      <c r="G180" s="44" t="n"/>
      <c r="H180" s="45" t="n"/>
      <c r="I180" s="45" t="n"/>
      <c r="J180" s="45" t="n"/>
      <c r="K180" s="45" t="n"/>
      <c r="L180" s="45" t="n"/>
      <c r="M180" s="45" t="n"/>
      <c r="N180" s="45" t="n"/>
      <c r="O180" s="46" t="n"/>
      <c r="P180" s="45" t="n"/>
      <c r="Q180" s="45" t="n"/>
      <c r="R180" s="45" t="str">
        <f>IF(AND(A180="",B180=""),"",IF(A180="","Missing ID",IF(COUNTIF($A:$A,A180)&gt;1,"Duplicate ID",IF(B180="","Missing title",IF(C180="","Missing module",IF(J180="","Missing steps",IF(K180="","Missing expected result",IF(AND(F180=St_Failed,L180=""),"Add actual result","OK"))))))))</f>
        <v/>
      </c>
    </row>
    <row r="181" ht="32" customHeight="1">
      <c r="A181" s="44" t="n"/>
      <c r="B181" s="45" t="n"/>
      <c r="C181" s="45" t="n"/>
      <c r="D181" s="45" t="n"/>
      <c r="E181" s="44" t="n"/>
      <c r="F181" s="44" t="n"/>
      <c r="G181" s="44" t="n"/>
      <c r="H181" s="45" t="n"/>
      <c r="I181" s="45" t="n"/>
      <c r="J181" s="45" t="n"/>
      <c r="K181" s="45" t="n"/>
      <c r="L181" s="45" t="n"/>
      <c r="M181" s="45" t="n"/>
      <c r="N181" s="45" t="n"/>
      <c r="O181" s="46" t="n"/>
      <c r="P181" s="45" t="n"/>
      <c r="Q181" s="45" t="n"/>
      <c r="R181" s="45" t="str">
        <f>IF(AND(A181="",B181=""),"",IF(A181="","Missing ID",IF(COUNTIF($A:$A,A181)&gt;1,"Duplicate ID",IF(B181="","Missing title",IF(C181="","Missing module",IF(J181="","Missing steps",IF(K181="","Missing expected result",IF(AND(F181=St_Failed,L181=""),"Add actual result","OK"))))))))</f>
        <v/>
      </c>
    </row>
    <row r="182" ht="32" customHeight="1">
      <c r="A182" s="44" t="n"/>
      <c r="B182" s="45" t="n"/>
      <c r="C182" s="45" t="n"/>
      <c r="D182" s="45" t="n"/>
      <c r="E182" s="44" t="n"/>
      <c r="F182" s="44" t="n"/>
      <c r="G182" s="44" t="n"/>
      <c r="H182" s="45" t="n"/>
      <c r="I182" s="45" t="n"/>
      <c r="J182" s="45" t="n"/>
      <c r="K182" s="45" t="n"/>
      <c r="L182" s="45" t="n"/>
      <c r="M182" s="45" t="n"/>
      <c r="N182" s="45" t="n"/>
      <c r="O182" s="46" t="n"/>
      <c r="P182" s="45" t="n"/>
      <c r="Q182" s="45" t="n"/>
      <c r="R182" s="45" t="str">
        <f>IF(AND(A182="",B182=""),"",IF(A182="","Missing ID",IF(COUNTIF($A:$A,A182)&gt;1,"Duplicate ID",IF(B182="","Missing title",IF(C182="","Missing module",IF(J182="","Missing steps",IF(K182="","Missing expected result",IF(AND(F182=St_Failed,L182=""),"Add actual result","OK"))))))))</f>
        <v/>
      </c>
    </row>
    <row r="183" ht="32" customHeight="1">
      <c r="A183" s="44" t="n"/>
      <c r="B183" s="45" t="n"/>
      <c r="C183" s="45" t="n"/>
      <c r="D183" s="45" t="n"/>
      <c r="E183" s="44" t="n"/>
      <c r="F183" s="44" t="n"/>
      <c r="G183" s="44" t="n"/>
      <c r="H183" s="45" t="n"/>
      <c r="I183" s="45" t="n"/>
      <c r="J183" s="45" t="n"/>
      <c r="K183" s="45" t="n"/>
      <c r="L183" s="45" t="n"/>
      <c r="M183" s="45" t="n"/>
      <c r="N183" s="45" t="n"/>
      <c r="O183" s="46" t="n"/>
      <c r="P183" s="45" t="n"/>
      <c r="Q183" s="45" t="n"/>
      <c r="R183" s="45" t="str">
        <f>IF(AND(A183="",B183=""),"",IF(A183="","Missing ID",IF(COUNTIF($A:$A,A183)&gt;1,"Duplicate ID",IF(B183="","Missing title",IF(C183="","Missing module",IF(J183="","Missing steps",IF(K183="","Missing expected result",IF(AND(F183=St_Failed,L183=""),"Add actual result","OK"))))))))</f>
        <v/>
      </c>
    </row>
    <row r="184" ht="32" customHeight="1">
      <c r="A184" s="44" t="n"/>
      <c r="B184" s="45" t="n"/>
      <c r="C184" s="45" t="n"/>
      <c r="D184" s="45" t="n"/>
      <c r="E184" s="44" t="n"/>
      <c r="F184" s="44" t="n"/>
      <c r="G184" s="44" t="n"/>
      <c r="H184" s="45" t="n"/>
      <c r="I184" s="45" t="n"/>
      <c r="J184" s="45" t="n"/>
      <c r="K184" s="45" t="n"/>
      <c r="L184" s="45" t="n"/>
      <c r="M184" s="45" t="n"/>
      <c r="N184" s="45" t="n"/>
      <c r="O184" s="46" t="n"/>
      <c r="P184" s="45" t="n"/>
      <c r="Q184" s="45" t="n"/>
      <c r="R184" s="45" t="str">
        <f>IF(AND(A184="",B184=""),"",IF(A184="","Missing ID",IF(COUNTIF($A:$A,A184)&gt;1,"Duplicate ID",IF(B184="","Missing title",IF(C184="","Missing module",IF(J184="","Missing steps",IF(K184="","Missing expected result",IF(AND(F184=St_Failed,L184=""),"Add actual result","OK"))))))))</f>
        <v/>
      </c>
    </row>
    <row r="185" ht="32" customHeight="1">
      <c r="A185" s="44" t="n"/>
      <c r="B185" s="45" t="n"/>
      <c r="C185" s="45" t="n"/>
      <c r="D185" s="45" t="n"/>
      <c r="E185" s="44" t="n"/>
      <c r="F185" s="44" t="n"/>
      <c r="G185" s="44" t="n"/>
      <c r="H185" s="45" t="n"/>
      <c r="I185" s="45" t="n"/>
      <c r="J185" s="45" t="n"/>
      <c r="K185" s="45" t="n"/>
      <c r="L185" s="45" t="n"/>
      <c r="M185" s="45" t="n"/>
      <c r="N185" s="45" t="n"/>
      <c r="O185" s="46" t="n"/>
      <c r="P185" s="45" t="n"/>
      <c r="Q185" s="45" t="n"/>
      <c r="R185" s="45" t="str">
        <f>IF(AND(A185="",B185=""),"",IF(A185="","Missing ID",IF(COUNTIF($A:$A,A185)&gt;1,"Duplicate ID",IF(B185="","Missing title",IF(C185="","Missing module",IF(J185="","Missing steps",IF(K185="","Missing expected result",IF(AND(F185=St_Failed,L185=""),"Add actual result","OK"))))))))</f>
        <v/>
      </c>
    </row>
    <row r="186" ht="32" customHeight="1">
      <c r="A186" s="44" t="n"/>
      <c r="B186" s="45" t="n"/>
      <c r="C186" s="45" t="n"/>
      <c r="D186" s="45" t="n"/>
      <c r="E186" s="44" t="n"/>
      <c r="F186" s="44" t="n"/>
      <c r="G186" s="44" t="n"/>
      <c r="H186" s="45" t="n"/>
      <c r="I186" s="45" t="n"/>
      <c r="J186" s="45" t="n"/>
      <c r="K186" s="45" t="n"/>
      <c r="L186" s="45" t="n"/>
      <c r="M186" s="45" t="n"/>
      <c r="N186" s="45" t="n"/>
      <c r="O186" s="46" t="n"/>
      <c r="P186" s="45" t="n"/>
      <c r="Q186" s="45" t="n"/>
      <c r="R186" s="45" t="str">
        <f>IF(AND(A186="",B186=""),"",IF(A186="","Missing ID",IF(COUNTIF($A:$A,A186)&gt;1,"Duplicate ID",IF(B186="","Missing title",IF(C186="","Missing module",IF(J186="","Missing steps",IF(K186="","Missing expected result",IF(AND(F186=St_Failed,L186=""),"Add actual result","OK"))))))))</f>
        <v/>
      </c>
    </row>
    <row r="187" ht="32" customHeight="1">
      <c r="A187" s="44" t="n"/>
      <c r="B187" s="45" t="n"/>
      <c r="C187" s="45" t="n"/>
      <c r="D187" s="45" t="n"/>
      <c r="E187" s="44" t="n"/>
      <c r="F187" s="44" t="n"/>
      <c r="G187" s="44" t="n"/>
      <c r="H187" s="45" t="n"/>
      <c r="I187" s="45" t="n"/>
      <c r="J187" s="45" t="n"/>
      <c r="K187" s="45" t="n"/>
      <c r="L187" s="45" t="n"/>
      <c r="M187" s="45" t="n"/>
      <c r="N187" s="45" t="n"/>
      <c r="O187" s="46" t="n"/>
      <c r="P187" s="45" t="n"/>
      <c r="Q187" s="45" t="n"/>
      <c r="R187" s="45" t="str">
        <f>IF(AND(A187="",B187=""),"",IF(A187="","Missing ID",IF(COUNTIF($A:$A,A187)&gt;1,"Duplicate ID",IF(B187="","Missing title",IF(C187="","Missing module",IF(J187="","Missing steps",IF(K187="","Missing expected result",IF(AND(F187=St_Failed,L187=""),"Add actual result","OK"))))))))</f>
        <v/>
      </c>
    </row>
    <row r="188" ht="32" customHeight="1">
      <c r="A188" s="44" t="n"/>
      <c r="B188" s="45" t="n"/>
      <c r="C188" s="45" t="n"/>
      <c r="D188" s="45" t="n"/>
      <c r="E188" s="44" t="n"/>
      <c r="F188" s="44" t="n"/>
      <c r="G188" s="44" t="n"/>
      <c r="H188" s="45" t="n"/>
      <c r="I188" s="45" t="n"/>
      <c r="J188" s="45" t="n"/>
      <c r="K188" s="45" t="n"/>
      <c r="L188" s="45" t="n"/>
      <c r="M188" s="45" t="n"/>
      <c r="N188" s="45" t="n"/>
      <c r="O188" s="46" t="n"/>
      <c r="P188" s="45" t="n"/>
      <c r="Q188" s="45" t="n"/>
      <c r="R188" s="45" t="str">
        <f>IF(AND(A188="",B188=""),"",IF(A188="","Missing ID",IF(COUNTIF($A:$A,A188)&gt;1,"Duplicate ID",IF(B188="","Missing title",IF(C188="","Missing module",IF(J188="","Missing steps",IF(K188="","Missing expected result",IF(AND(F188=St_Failed,L188=""),"Add actual result","OK"))))))))</f>
        <v/>
      </c>
    </row>
    <row r="189" ht="32" customHeight="1">
      <c r="A189" s="44" t="n"/>
      <c r="B189" s="45" t="n"/>
      <c r="C189" s="45" t="n"/>
      <c r="D189" s="45" t="n"/>
      <c r="E189" s="44" t="n"/>
      <c r="F189" s="44" t="n"/>
      <c r="G189" s="44" t="n"/>
      <c r="H189" s="45" t="n"/>
      <c r="I189" s="45" t="n"/>
      <c r="J189" s="45" t="n"/>
      <c r="K189" s="45" t="n"/>
      <c r="L189" s="45" t="n"/>
      <c r="M189" s="45" t="n"/>
      <c r="N189" s="45" t="n"/>
      <c r="O189" s="46" t="n"/>
      <c r="P189" s="45" t="n"/>
      <c r="Q189" s="45" t="n"/>
      <c r="R189" s="45" t="str">
        <f>IF(AND(A189="",B189=""),"",IF(A189="","Missing ID",IF(COUNTIF($A:$A,A189)&gt;1,"Duplicate ID",IF(B189="","Missing title",IF(C189="","Missing module",IF(J189="","Missing steps",IF(K189="","Missing expected result",IF(AND(F189=St_Failed,L189=""),"Add actual result","OK"))))))))</f>
        <v/>
      </c>
    </row>
    <row r="190" ht="32" customHeight="1">
      <c r="A190" s="44" t="n"/>
      <c r="B190" s="45" t="n"/>
      <c r="C190" s="45" t="n"/>
      <c r="D190" s="45" t="n"/>
      <c r="E190" s="44" t="n"/>
      <c r="F190" s="44" t="n"/>
      <c r="G190" s="44" t="n"/>
      <c r="H190" s="45" t="n"/>
      <c r="I190" s="45" t="n"/>
      <c r="J190" s="45" t="n"/>
      <c r="K190" s="45" t="n"/>
      <c r="L190" s="45" t="n"/>
      <c r="M190" s="45" t="n"/>
      <c r="N190" s="45" t="n"/>
      <c r="O190" s="46" t="n"/>
      <c r="P190" s="45" t="n"/>
      <c r="Q190" s="45" t="n"/>
      <c r="R190" s="45" t="str">
        <f>IF(AND(A190="",B190=""),"",IF(A190="","Missing ID",IF(COUNTIF($A:$A,A190)&gt;1,"Duplicate ID",IF(B190="","Missing title",IF(C190="","Missing module",IF(J190="","Missing steps",IF(K190="","Missing expected result",IF(AND(F190=St_Failed,L190=""),"Add actual result","OK"))))))))</f>
        <v/>
      </c>
    </row>
    <row r="191" ht="32" customHeight="1">
      <c r="A191" s="44" t="n"/>
      <c r="B191" s="45" t="n"/>
      <c r="C191" s="45" t="n"/>
      <c r="D191" s="45" t="n"/>
      <c r="E191" s="44" t="n"/>
      <c r="F191" s="44" t="n"/>
      <c r="G191" s="44" t="n"/>
      <c r="H191" s="45" t="n"/>
      <c r="I191" s="45" t="n"/>
      <c r="J191" s="45" t="n"/>
      <c r="K191" s="45" t="n"/>
      <c r="L191" s="45" t="n"/>
      <c r="M191" s="45" t="n"/>
      <c r="N191" s="45" t="n"/>
      <c r="O191" s="46" t="n"/>
      <c r="P191" s="45" t="n"/>
      <c r="Q191" s="45" t="n"/>
      <c r="R191" s="45" t="str">
        <f>IF(AND(A191="",B191=""),"",IF(A191="","Missing ID",IF(COUNTIF($A:$A,A191)&gt;1,"Duplicate ID",IF(B191="","Missing title",IF(C191="","Missing module",IF(J191="","Missing steps",IF(K191="","Missing expected result",IF(AND(F191=St_Failed,L191=""),"Add actual result","OK"))))))))</f>
        <v/>
      </c>
    </row>
    <row r="192" ht="32" customHeight="1">
      <c r="A192" s="44" t="n"/>
      <c r="B192" s="45" t="n"/>
      <c r="C192" s="45" t="n"/>
      <c r="D192" s="45" t="n"/>
      <c r="E192" s="44" t="n"/>
      <c r="F192" s="44" t="n"/>
      <c r="G192" s="44" t="n"/>
      <c r="H192" s="45" t="n"/>
      <c r="I192" s="45" t="n"/>
      <c r="J192" s="45" t="n"/>
      <c r="K192" s="45" t="n"/>
      <c r="L192" s="45" t="n"/>
      <c r="M192" s="45" t="n"/>
      <c r="N192" s="45" t="n"/>
      <c r="O192" s="46" t="n"/>
      <c r="P192" s="45" t="n"/>
      <c r="Q192" s="45" t="n"/>
      <c r="R192" s="45" t="str">
        <f>IF(AND(A192="",B192=""),"",IF(A192="","Missing ID",IF(COUNTIF($A:$A,A192)&gt;1,"Duplicate ID",IF(B192="","Missing title",IF(C192="","Missing module",IF(J192="","Missing steps",IF(K192="","Missing expected result",IF(AND(F192=St_Failed,L192=""),"Add actual result","OK"))))))))</f>
        <v/>
      </c>
    </row>
    <row r="193" ht="32" customHeight="1">
      <c r="A193" s="44" t="n"/>
      <c r="B193" s="45" t="n"/>
      <c r="C193" s="45" t="n"/>
      <c r="D193" s="45" t="n"/>
      <c r="E193" s="44" t="n"/>
      <c r="F193" s="44" t="n"/>
      <c r="G193" s="44" t="n"/>
      <c r="H193" s="45" t="n"/>
      <c r="I193" s="45" t="n"/>
      <c r="J193" s="45" t="n"/>
      <c r="K193" s="45" t="n"/>
      <c r="L193" s="45" t="n"/>
      <c r="M193" s="45" t="n"/>
      <c r="N193" s="45" t="n"/>
      <c r="O193" s="46" t="n"/>
      <c r="P193" s="45" t="n"/>
      <c r="Q193" s="45" t="n"/>
      <c r="R193" s="45" t="str">
        <f>IF(AND(A193="",B193=""),"",IF(A193="","Missing ID",IF(COUNTIF($A:$A,A193)&gt;1,"Duplicate ID",IF(B193="","Missing title",IF(C193="","Missing module",IF(J193="","Missing steps",IF(K193="","Missing expected result",IF(AND(F193=St_Failed,L193=""),"Add actual result","OK"))))))))</f>
        <v/>
      </c>
    </row>
    <row r="194" ht="32" customHeight="1">
      <c r="A194" s="44" t="n"/>
      <c r="B194" s="45" t="n"/>
      <c r="C194" s="45" t="n"/>
      <c r="D194" s="45" t="n"/>
      <c r="E194" s="44" t="n"/>
      <c r="F194" s="44" t="n"/>
      <c r="G194" s="44" t="n"/>
      <c r="H194" s="45" t="n"/>
      <c r="I194" s="45" t="n"/>
      <c r="J194" s="45" t="n"/>
      <c r="K194" s="45" t="n"/>
      <c r="L194" s="45" t="n"/>
      <c r="M194" s="45" t="n"/>
      <c r="N194" s="45" t="n"/>
      <c r="O194" s="46" t="n"/>
      <c r="P194" s="45" t="n"/>
      <c r="Q194" s="45" t="n"/>
      <c r="R194" s="45" t="str">
        <f>IF(AND(A194="",B194=""),"",IF(A194="","Missing ID",IF(COUNTIF($A:$A,A194)&gt;1,"Duplicate ID",IF(B194="","Missing title",IF(C194="","Missing module",IF(J194="","Missing steps",IF(K194="","Missing expected result",IF(AND(F194=St_Failed,L194=""),"Add actual result","OK"))))))))</f>
        <v/>
      </c>
    </row>
    <row r="195" ht="32" customHeight="1">
      <c r="A195" s="44" t="n"/>
      <c r="B195" s="45" t="n"/>
      <c r="C195" s="45" t="n"/>
      <c r="D195" s="45" t="n"/>
      <c r="E195" s="44" t="n"/>
      <c r="F195" s="44" t="n"/>
      <c r="G195" s="44" t="n"/>
      <c r="H195" s="45" t="n"/>
      <c r="I195" s="45" t="n"/>
      <c r="J195" s="45" t="n"/>
      <c r="K195" s="45" t="n"/>
      <c r="L195" s="45" t="n"/>
      <c r="M195" s="45" t="n"/>
      <c r="N195" s="45" t="n"/>
      <c r="O195" s="46" t="n"/>
      <c r="P195" s="45" t="n"/>
      <c r="Q195" s="45" t="n"/>
      <c r="R195" s="45" t="str">
        <f>IF(AND(A195="",B195=""),"",IF(A195="","Missing ID",IF(COUNTIF($A:$A,A195)&gt;1,"Duplicate ID",IF(B195="","Missing title",IF(C195="","Missing module",IF(J195="","Missing steps",IF(K195="","Missing expected result",IF(AND(F195=St_Failed,L195=""),"Add actual result","OK"))))))))</f>
        <v/>
      </c>
    </row>
    <row r="196" ht="32" customHeight="1">
      <c r="A196" s="44" t="n"/>
      <c r="B196" s="45" t="n"/>
      <c r="C196" s="45" t="n"/>
      <c r="D196" s="45" t="n"/>
      <c r="E196" s="44" t="n"/>
      <c r="F196" s="44" t="n"/>
      <c r="G196" s="44" t="n"/>
      <c r="H196" s="45" t="n"/>
      <c r="I196" s="45" t="n"/>
      <c r="J196" s="45" t="n"/>
      <c r="K196" s="45" t="n"/>
      <c r="L196" s="45" t="n"/>
      <c r="M196" s="45" t="n"/>
      <c r="N196" s="45" t="n"/>
      <c r="O196" s="46" t="n"/>
      <c r="P196" s="45" t="n"/>
      <c r="Q196" s="45" t="n"/>
      <c r="R196" s="45" t="str">
        <f>IF(AND(A196="",B196=""),"",IF(A196="","Missing ID",IF(COUNTIF($A:$A,A196)&gt;1,"Duplicate ID",IF(B196="","Missing title",IF(C196="","Missing module",IF(J196="","Missing steps",IF(K196="","Missing expected result",IF(AND(F196=St_Failed,L196=""),"Add actual result","OK"))))))))</f>
        <v/>
      </c>
    </row>
    <row r="197" ht="32" customHeight="1">
      <c r="A197" s="44" t="n"/>
      <c r="B197" s="45" t="n"/>
      <c r="C197" s="45" t="n"/>
      <c r="D197" s="45" t="n"/>
      <c r="E197" s="44" t="n"/>
      <c r="F197" s="44" t="n"/>
      <c r="G197" s="44" t="n"/>
      <c r="H197" s="45" t="n"/>
      <c r="I197" s="45" t="n"/>
      <c r="J197" s="45" t="n"/>
      <c r="K197" s="45" t="n"/>
      <c r="L197" s="45" t="n"/>
      <c r="M197" s="45" t="n"/>
      <c r="N197" s="45" t="n"/>
      <c r="O197" s="46" t="n"/>
      <c r="P197" s="45" t="n"/>
      <c r="Q197" s="45" t="n"/>
      <c r="R197" s="45" t="str">
        <f>IF(AND(A197="",B197=""),"",IF(A197="","Missing ID",IF(COUNTIF($A:$A,A197)&gt;1,"Duplicate ID",IF(B197="","Missing title",IF(C197="","Missing module",IF(J197="","Missing steps",IF(K197="","Missing expected result",IF(AND(F197=St_Failed,L197=""),"Add actual result","OK"))))))))</f>
        <v/>
      </c>
    </row>
    <row r="198" ht="32" customHeight="1">
      <c r="A198" s="44" t="n"/>
      <c r="B198" s="45" t="n"/>
      <c r="C198" s="45" t="n"/>
      <c r="D198" s="45" t="n"/>
      <c r="E198" s="44" t="n"/>
      <c r="F198" s="44" t="n"/>
      <c r="G198" s="44" t="n"/>
      <c r="H198" s="45" t="n"/>
      <c r="I198" s="45" t="n"/>
      <c r="J198" s="45" t="n"/>
      <c r="K198" s="45" t="n"/>
      <c r="L198" s="45" t="n"/>
      <c r="M198" s="45" t="n"/>
      <c r="N198" s="45" t="n"/>
      <c r="O198" s="46" t="n"/>
      <c r="P198" s="45" t="n"/>
      <c r="Q198" s="45" t="n"/>
      <c r="R198" s="45" t="str">
        <f>IF(AND(A198="",B198=""),"",IF(A198="","Missing ID",IF(COUNTIF($A:$A,A198)&gt;1,"Duplicate ID",IF(B198="","Missing title",IF(C198="","Missing module",IF(J198="","Missing steps",IF(K198="","Missing expected result",IF(AND(F198=St_Failed,L198=""),"Add actual result","OK"))))))))</f>
        <v/>
      </c>
    </row>
    <row r="199" ht="32" customHeight="1">
      <c r="A199" s="44" t="n"/>
      <c r="B199" s="45" t="n"/>
      <c r="C199" s="45" t="n"/>
      <c r="D199" s="45" t="n"/>
      <c r="E199" s="44" t="n"/>
      <c r="F199" s="44" t="n"/>
      <c r="G199" s="44" t="n"/>
      <c r="H199" s="45" t="n"/>
      <c r="I199" s="45" t="n"/>
      <c r="J199" s="45" t="n"/>
      <c r="K199" s="45" t="n"/>
      <c r="L199" s="45" t="n"/>
      <c r="M199" s="45" t="n"/>
      <c r="N199" s="45" t="n"/>
      <c r="O199" s="46" t="n"/>
      <c r="P199" s="45" t="n"/>
      <c r="Q199" s="45" t="n"/>
      <c r="R199" s="45" t="str">
        <f>IF(AND(A199="",B199=""),"",IF(A199="","Missing ID",IF(COUNTIF($A:$A,A199)&gt;1,"Duplicate ID",IF(B199="","Missing title",IF(C199="","Missing module",IF(J199="","Missing steps",IF(K199="","Missing expected result",IF(AND(F199=St_Failed,L199=""),"Add actual result","OK"))))))))</f>
        <v/>
      </c>
    </row>
    <row r="200" ht="32" customHeight="1">
      <c r="A200" s="44" t="n"/>
      <c r="B200" s="45" t="n"/>
      <c r="C200" s="45" t="n"/>
      <c r="D200" s="45" t="n"/>
      <c r="E200" s="44" t="n"/>
      <c r="F200" s="44" t="n"/>
      <c r="G200" s="44" t="n"/>
      <c r="H200" s="45" t="n"/>
      <c r="I200" s="45" t="n"/>
      <c r="J200" s="45" t="n"/>
      <c r="K200" s="45" t="n"/>
      <c r="L200" s="45" t="n"/>
      <c r="M200" s="45" t="n"/>
      <c r="N200" s="45" t="n"/>
      <c r="O200" s="46" t="n"/>
      <c r="P200" s="45" t="n"/>
      <c r="Q200" s="45" t="n"/>
      <c r="R200" s="45" t="str">
        <f>IF(AND(A200="",B200=""),"",IF(A200="","Missing ID",IF(COUNTIF($A:$A,A200)&gt;1,"Duplicate ID",IF(B200="","Missing title",IF(C200="","Missing module",IF(J200="","Missing steps",IF(K200="","Missing expected result",IF(AND(F200=St_Failed,L200=""),"Add actual result","OK"))))))))</f>
        <v/>
      </c>
    </row>
    <row r="201" ht="32" customHeight="1">
      <c r="A201" s="44" t="n"/>
      <c r="B201" s="45" t="n"/>
      <c r="C201" s="45" t="n"/>
      <c r="D201" s="45" t="n"/>
      <c r="E201" s="44" t="n"/>
      <c r="F201" s="44" t="n"/>
      <c r="G201" s="44" t="n"/>
      <c r="H201" s="45" t="n"/>
      <c r="I201" s="45" t="n"/>
      <c r="J201" s="45" t="n"/>
      <c r="K201" s="45" t="n"/>
      <c r="L201" s="45" t="n"/>
      <c r="M201" s="45" t="n"/>
      <c r="N201" s="45" t="n"/>
      <c r="O201" s="46" t="n"/>
      <c r="P201" s="45" t="n"/>
      <c r="Q201" s="45" t="n"/>
      <c r="R201" s="45" t="str">
        <f>IF(AND(A201="",B201=""),"",IF(A201="","Missing ID",IF(COUNTIF($A:$A,A201)&gt;1,"Duplicate ID",IF(B201="","Missing title",IF(C201="","Missing module",IF(J201="","Missing steps",IF(K201="","Missing expected result",IF(AND(F201=St_Failed,L201=""),"Add actual result","OK"))))))))</f>
        <v/>
      </c>
    </row>
    <row r="202" ht="32" customHeight="1">
      <c r="A202" s="44" t="n"/>
      <c r="B202" s="45" t="n"/>
      <c r="C202" s="45" t="n"/>
      <c r="D202" s="45" t="n"/>
      <c r="E202" s="44" t="n"/>
      <c r="F202" s="44" t="n"/>
      <c r="G202" s="44" t="n"/>
      <c r="H202" s="45" t="n"/>
      <c r="I202" s="45" t="n"/>
      <c r="J202" s="45" t="n"/>
      <c r="K202" s="45" t="n"/>
      <c r="L202" s="45" t="n"/>
      <c r="M202" s="45" t="n"/>
      <c r="N202" s="45" t="n"/>
      <c r="O202" s="46" t="n"/>
      <c r="P202" s="45" t="n"/>
      <c r="Q202" s="45" t="n"/>
      <c r="R202" s="45" t="str">
        <f>IF(AND(A202="",B202=""),"",IF(A202="","Missing ID",IF(COUNTIF($A:$A,A202)&gt;1,"Duplicate ID",IF(B202="","Missing title",IF(C202="","Missing module",IF(J202="","Missing steps",IF(K202="","Missing expected result",IF(AND(F202=St_Failed,L202=""),"Add actual result","OK"))))))))</f>
        <v/>
      </c>
    </row>
    <row r="203" ht="32" customHeight="1">
      <c r="A203" s="44" t="n"/>
      <c r="B203" s="45" t="n"/>
      <c r="C203" s="45" t="n"/>
      <c r="D203" s="45" t="n"/>
      <c r="E203" s="44" t="n"/>
      <c r="F203" s="44" t="n"/>
      <c r="G203" s="44" t="n"/>
      <c r="H203" s="45" t="n"/>
      <c r="I203" s="45" t="n"/>
      <c r="J203" s="45" t="n"/>
      <c r="K203" s="45" t="n"/>
      <c r="L203" s="45" t="n"/>
      <c r="M203" s="45" t="n"/>
      <c r="N203" s="45" t="n"/>
      <c r="O203" s="46" t="n"/>
      <c r="P203" s="45" t="n"/>
      <c r="Q203" s="45" t="n"/>
      <c r="R203" s="45" t="str">
        <f>IF(AND(A203="",B203=""),"",IF(A203="","Missing ID",IF(COUNTIF($A:$A,A203)&gt;1,"Duplicate ID",IF(B203="","Missing title",IF(C203="","Missing module",IF(J203="","Missing steps",IF(K203="","Missing expected result",IF(AND(F203=St_Failed,L203=""),"Add actual result","OK"))))))))</f>
        <v/>
      </c>
    </row>
    <row r="204" ht="32" customHeight="1">
      <c r="A204" s="44" t="n"/>
      <c r="B204" s="45" t="n"/>
      <c r="C204" s="45" t="n"/>
      <c r="D204" s="45" t="n"/>
      <c r="E204" s="44" t="n"/>
      <c r="F204" s="44" t="n"/>
      <c r="G204" s="44" t="n"/>
      <c r="H204" s="45" t="n"/>
      <c r="I204" s="45" t="n"/>
      <c r="J204" s="45" t="n"/>
      <c r="K204" s="45" t="n"/>
      <c r="L204" s="45" t="n"/>
      <c r="M204" s="45" t="n"/>
      <c r="N204" s="45" t="n"/>
      <c r="O204" s="46" t="n"/>
      <c r="P204" s="45" t="n"/>
      <c r="Q204" s="45" t="n"/>
      <c r="R204" s="45" t="str">
        <f>IF(AND(A204="",B204=""),"",IF(A204="","Missing ID",IF(COUNTIF($A:$A,A204)&gt;1,"Duplicate ID",IF(B204="","Missing title",IF(C204="","Missing module",IF(J204="","Missing steps",IF(K204="","Missing expected result",IF(AND(F204=St_Failed,L204=""),"Add actual result","OK"))))))))</f>
        <v/>
      </c>
    </row>
    <row r="205" ht="32" customHeight="1">
      <c r="A205" s="44" t="n"/>
      <c r="B205" s="45" t="n"/>
      <c r="C205" s="45" t="n"/>
      <c r="D205" s="45" t="n"/>
      <c r="E205" s="44" t="n"/>
      <c r="F205" s="44" t="n"/>
      <c r="G205" s="44" t="n"/>
      <c r="H205" s="45" t="n"/>
      <c r="I205" s="45" t="n"/>
      <c r="J205" s="45" t="n"/>
      <c r="K205" s="45" t="n"/>
      <c r="L205" s="45" t="n"/>
      <c r="M205" s="45" t="n"/>
      <c r="N205" s="45" t="n"/>
      <c r="O205" s="46" t="n"/>
      <c r="P205" s="45" t="n"/>
      <c r="Q205" s="45" t="n"/>
      <c r="R205" s="45" t="str">
        <f>IF(AND(A205="",B205=""),"",IF(A205="","Missing ID",IF(COUNTIF($A:$A,A205)&gt;1,"Duplicate ID",IF(B205="","Missing title",IF(C205="","Missing module",IF(J205="","Missing steps",IF(K205="","Missing expected result",IF(AND(F205=St_Failed,L205=""),"Add actual result","OK"))))))))</f>
        <v/>
      </c>
    </row>
    <row r="206" ht="32" customHeight="1">
      <c r="A206" s="44" t="n"/>
      <c r="B206" s="45" t="n"/>
      <c r="C206" s="45" t="n"/>
      <c r="D206" s="45" t="n"/>
      <c r="E206" s="44" t="n"/>
      <c r="F206" s="44" t="n"/>
      <c r="G206" s="44" t="n"/>
      <c r="H206" s="45" t="n"/>
      <c r="I206" s="45" t="n"/>
      <c r="J206" s="45" t="n"/>
      <c r="K206" s="45" t="n"/>
      <c r="L206" s="45" t="n"/>
      <c r="M206" s="45" t="n"/>
      <c r="N206" s="45" t="n"/>
      <c r="O206" s="46" t="n"/>
      <c r="P206" s="45" t="n"/>
      <c r="Q206" s="45" t="n"/>
      <c r="R206" s="45" t="str">
        <f>IF(AND(A206="",B206=""),"",IF(A206="","Missing ID",IF(COUNTIF($A:$A,A206)&gt;1,"Duplicate ID",IF(B206="","Missing title",IF(C206="","Missing module",IF(J206="","Missing steps",IF(K206="","Missing expected result",IF(AND(F206=St_Failed,L206=""),"Add actual result","OK"))))))))</f>
        <v/>
      </c>
    </row>
    <row r="207" ht="32" customHeight="1">
      <c r="A207" s="44" t="n"/>
      <c r="B207" s="45" t="n"/>
      <c r="C207" s="45" t="n"/>
      <c r="D207" s="45" t="n"/>
      <c r="E207" s="44" t="n"/>
      <c r="F207" s="44" t="n"/>
      <c r="G207" s="44" t="n"/>
      <c r="H207" s="45" t="n"/>
      <c r="I207" s="45" t="n"/>
      <c r="J207" s="45" t="n"/>
      <c r="K207" s="45" t="n"/>
      <c r="L207" s="45" t="n"/>
      <c r="M207" s="45" t="n"/>
      <c r="N207" s="45" t="n"/>
      <c r="O207" s="46" t="n"/>
      <c r="P207" s="45" t="n"/>
      <c r="Q207" s="45" t="n"/>
      <c r="R207" s="45" t="str">
        <f>IF(AND(A207="",B207=""),"",IF(A207="","Missing ID",IF(COUNTIF($A:$A,A207)&gt;1,"Duplicate ID",IF(B207="","Missing title",IF(C207="","Missing module",IF(J207="","Missing steps",IF(K207="","Missing expected result",IF(AND(F207=St_Failed,L207=""),"Add actual result","OK"))))))))</f>
        <v/>
      </c>
    </row>
    <row r="208" ht="32" customHeight="1">
      <c r="A208" s="44" t="n"/>
      <c r="B208" s="45" t="n"/>
      <c r="C208" s="45" t="n"/>
      <c r="D208" s="45" t="n"/>
      <c r="E208" s="44" t="n"/>
      <c r="F208" s="44" t="n"/>
      <c r="G208" s="44" t="n"/>
      <c r="H208" s="45" t="n"/>
      <c r="I208" s="45" t="n"/>
      <c r="J208" s="45" t="n"/>
      <c r="K208" s="45" t="n"/>
      <c r="L208" s="45" t="n"/>
      <c r="M208" s="45" t="n"/>
      <c r="N208" s="45" t="n"/>
      <c r="O208" s="46" t="n"/>
      <c r="P208" s="45" t="n"/>
      <c r="Q208" s="45" t="n"/>
      <c r="R208" s="45" t="str">
        <f>IF(AND(A208="",B208=""),"",IF(A208="","Missing ID",IF(COUNTIF($A:$A,A208)&gt;1,"Duplicate ID",IF(B208="","Missing title",IF(C208="","Missing module",IF(J208="","Missing steps",IF(K208="","Missing expected result",IF(AND(F208=St_Failed,L208=""),"Add actual result","OK"))))))))</f>
        <v/>
      </c>
    </row>
    <row r="209" ht="32" customHeight="1">
      <c r="A209" s="44" t="n"/>
      <c r="B209" s="45" t="n"/>
      <c r="C209" s="45" t="n"/>
      <c r="D209" s="45" t="n"/>
      <c r="E209" s="44" t="n"/>
      <c r="F209" s="44" t="n"/>
      <c r="G209" s="44" t="n"/>
      <c r="H209" s="45" t="n"/>
      <c r="I209" s="45" t="n"/>
      <c r="J209" s="45" t="n"/>
      <c r="K209" s="45" t="n"/>
      <c r="L209" s="45" t="n"/>
      <c r="M209" s="45" t="n"/>
      <c r="N209" s="45" t="n"/>
      <c r="O209" s="46" t="n"/>
      <c r="P209" s="45" t="n"/>
      <c r="Q209" s="45" t="n"/>
      <c r="R209" s="45" t="str">
        <f>IF(AND(A209="",B209=""),"",IF(A209="","Missing ID",IF(COUNTIF($A:$A,A209)&gt;1,"Duplicate ID",IF(B209="","Missing title",IF(C209="","Missing module",IF(J209="","Missing steps",IF(K209="","Missing expected result",IF(AND(F209=St_Failed,L209=""),"Add actual result","OK"))))))))</f>
        <v/>
      </c>
    </row>
    <row r="210" ht="32" customHeight="1">
      <c r="A210" s="44" t="n"/>
      <c r="B210" s="45" t="n"/>
      <c r="C210" s="45" t="n"/>
      <c r="D210" s="45" t="n"/>
      <c r="E210" s="44" t="n"/>
      <c r="F210" s="44" t="n"/>
      <c r="G210" s="44" t="n"/>
      <c r="H210" s="45" t="n"/>
      <c r="I210" s="45" t="n"/>
      <c r="J210" s="45" t="n"/>
      <c r="K210" s="45" t="n"/>
      <c r="L210" s="45" t="n"/>
      <c r="M210" s="45" t="n"/>
      <c r="N210" s="45" t="n"/>
      <c r="O210" s="46" t="n"/>
      <c r="P210" s="45" t="n"/>
      <c r="Q210" s="45" t="n"/>
      <c r="R210" s="45" t="str">
        <f>IF(AND(A210="",B210=""),"",IF(A210="","Missing ID",IF(COUNTIF($A:$A,A210)&gt;1,"Duplicate ID",IF(B210="","Missing title",IF(C210="","Missing module",IF(J210="","Missing steps",IF(K210="","Missing expected result",IF(AND(F210=St_Failed,L210=""),"Add actual result","OK"))))))))</f>
        <v/>
      </c>
    </row>
    <row r="211" ht="32" customHeight="1">
      <c r="A211" s="44" t="n"/>
      <c r="B211" s="45" t="n"/>
      <c r="C211" s="45" t="n"/>
      <c r="D211" s="45" t="n"/>
      <c r="E211" s="44" t="n"/>
      <c r="F211" s="44" t="n"/>
      <c r="G211" s="44" t="n"/>
      <c r="H211" s="45" t="n"/>
      <c r="I211" s="45" t="n"/>
      <c r="J211" s="45" t="n"/>
      <c r="K211" s="45" t="n"/>
      <c r="L211" s="45" t="n"/>
      <c r="M211" s="45" t="n"/>
      <c r="N211" s="45" t="n"/>
      <c r="O211" s="46" t="n"/>
      <c r="P211" s="45" t="n"/>
      <c r="Q211" s="45" t="n"/>
      <c r="R211" s="45" t="str">
        <f>IF(AND(A211="",B211=""),"",IF(A211="","Missing ID",IF(COUNTIF($A:$A,A211)&gt;1,"Duplicate ID",IF(B211="","Missing title",IF(C211="","Missing module",IF(J211="","Missing steps",IF(K211="","Missing expected result",IF(AND(F211=St_Failed,L211=""),"Add actual result","OK"))))))))</f>
        <v/>
      </c>
    </row>
    <row r="212" ht="32" customHeight="1">
      <c r="A212" s="44" t="n"/>
      <c r="B212" s="45" t="n"/>
      <c r="C212" s="45" t="n"/>
      <c r="D212" s="45" t="n"/>
      <c r="E212" s="44" t="n"/>
      <c r="F212" s="44" t="n"/>
      <c r="G212" s="44" t="n"/>
      <c r="H212" s="45" t="n"/>
      <c r="I212" s="45" t="n"/>
      <c r="J212" s="45" t="n"/>
      <c r="K212" s="45" t="n"/>
      <c r="L212" s="45" t="n"/>
      <c r="M212" s="45" t="n"/>
      <c r="N212" s="45" t="n"/>
      <c r="O212" s="46" t="n"/>
      <c r="P212" s="45" t="n"/>
      <c r="Q212" s="45" t="n"/>
      <c r="R212" s="45" t="str">
        <f>IF(AND(A212="",B212=""),"",IF(A212="","Missing ID",IF(COUNTIF($A:$A,A212)&gt;1,"Duplicate ID",IF(B212="","Missing title",IF(C212="","Missing module",IF(J212="","Missing steps",IF(K212="","Missing expected result",IF(AND(F212=St_Failed,L212=""),"Add actual result","OK"))))))))</f>
        <v/>
      </c>
    </row>
    <row r="213" ht="32" customHeight="1">
      <c r="A213" s="44" t="n"/>
      <c r="B213" s="45" t="n"/>
      <c r="C213" s="45" t="n"/>
      <c r="D213" s="45" t="n"/>
      <c r="E213" s="44" t="n"/>
      <c r="F213" s="44" t="n"/>
      <c r="G213" s="44" t="n"/>
      <c r="H213" s="45" t="n"/>
      <c r="I213" s="45" t="n"/>
      <c r="J213" s="45" t="n"/>
      <c r="K213" s="45" t="n"/>
      <c r="L213" s="45" t="n"/>
      <c r="M213" s="45" t="n"/>
      <c r="N213" s="45" t="n"/>
      <c r="O213" s="46" t="n"/>
      <c r="P213" s="45" t="n"/>
      <c r="Q213" s="45" t="n"/>
      <c r="R213" s="45" t="str">
        <f>IF(AND(A213="",B213=""),"",IF(A213="","Missing ID",IF(COUNTIF($A:$A,A213)&gt;1,"Duplicate ID",IF(B213="","Missing title",IF(C213="","Missing module",IF(J213="","Missing steps",IF(K213="","Missing expected result",IF(AND(F213=St_Failed,L213=""),"Add actual result","OK"))))))))</f>
        <v/>
      </c>
    </row>
    <row r="214" ht="32" customHeight="1">
      <c r="A214" s="44" t="n"/>
      <c r="B214" s="45" t="n"/>
      <c r="C214" s="45" t="n"/>
      <c r="D214" s="45" t="n"/>
      <c r="E214" s="44" t="n"/>
      <c r="F214" s="44" t="n"/>
      <c r="G214" s="44" t="n"/>
      <c r="H214" s="45" t="n"/>
      <c r="I214" s="45" t="n"/>
      <c r="J214" s="45" t="n"/>
      <c r="K214" s="45" t="n"/>
      <c r="L214" s="45" t="n"/>
      <c r="M214" s="45" t="n"/>
      <c r="N214" s="45" t="n"/>
      <c r="O214" s="46" t="n"/>
      <c r="P214" s="45" t="n"/>
      <c r="Q214" s="45" t="n"/>
      <c r="R214" s="45" t="str">
        <f>IF(AND(A214="",B214=""),"",IF(A214="","Missing ID",IF(COUNTIF($A:$A,A214)&gt;1,"Duplicate ID",IF(B214="","Missing title",IF(C214="","Missing module",IF(J214="","Missing steps",IF(K214="","Missing expected result",IF(AND(F214=St_Failed,L214=""),"Add actual result","OK"))))))))</f>
        <v/>
      </c>
    </row>
    <row r="215" ht="32" customHeight="1">
      <c r="A215" s="44" t="n"/>
      <c r="B215" s="45" t="n"/>
      <c r="C215" s="45" t="n"/>
      <c r="D215" s="45" t="n"/>
      <c r="E215" s="44" t="n"/>
      <c r="F215" s="44" t="n"/>
      <c r="G215" s="44" t="n"/>
      <c r="H215" s="45" t="n"/>
      <c r="I215" s="45" t="n"/>
      <c r="J215" s="45" t="n"/>
      <c r="K215" s="45" t="n"/>
      <c r="L215" s="45" t="n"/>
      <c r="M215" s="45" t="n"/>
      <c r="N215" s="45" t="n"/>
      <c r="O215" s="46" t="n"/>
      <c r="P215" s="45" t="n"/>
      <c r="Q215" s="45" t="n"/>
      <c r="R215" s="45" t="str">
        <f>IF(AND(A215="",B215=""),"",IF(A215="","Missing ID",IF(COUNTIF($A:$A,A215)&gt;1,"Duplicate ID",IF(B215="","Missing title",IF(C215="","Missing module",IF(J215="","Missing steps",IF(K215="","Missing expected result",IF(AND(F215=St_Failed,L215=""),"Add actual result","OK"))))))))</f>
        <v/>
      </c>
    </row>
    <row r="216" ht="32" customHeight="1">
      <c r="A216" s="44" t="n"/>
      <c r="B216" s="45" t="n"/>
      <c r="C216" s="45" t="n"/>
      <c r="D216" s="45" t="n"/>
      <c r="E216" s="44" t="n"/>
      <c r="F216" s="44" t="n"/>
      <c r="G216" s="44" t="n"/>
      <c r="H216" s="45" t="n"/>
      <c r="I216" s="45" t="n"/>
      <c r="J216" s="45" t="n"/>
      <c r="K216" s="45" t="n"/>
      <c r="L216" s="45" t="n"/>
      <c r="M216" s="45" t="n"/>
      <c r="N216" s="45" t="n"/>
      <c r="O216" s="46" t="n"/>
      <c r="P216" s="45" t="n"/>
      <c r="Q216" s="45" t="n"/>
      <c r="R216" s="45" t="str">
        <f>IF(AND(A216="",B216=""),"",IF(A216="","Missing ID",IF(COUNTIF($A:$A,A216)&gt;1,"Duplicate ID",IF(B216="","Missing title",IF(C216="","Missing module",IF(J216="","Missing steps",IF(K216="","Missing expected result",IF(AND(F216=St_Failed,L216=""),"Add actual result","OK"))))))))</f>
        <v/>
      </c>
    </row>
    <row r="217" ht="32" customHeight="1">
      <c r="A217" s="44" t="n"/>
      <c r="B217" s="45" t="n"/>
      <c r="C217" s="45" t="n"/>
      <c r="D217" s="45" t="n"/>
      <c r="E217" s="44" t="n"/>
      <c r="F217" s="44" t="n"/>
      <c r="G217" s="44" t="n"/>
      <c r="H217" s="45" t="n"/>
      <c r="I217" s="45" t="n"/>
      <c r="J217" s="45" t="n"/>
      <c r="K217" s="45" t="n"/>
      <c r="L217" s="45" t="n"/>
      <c r="M217" s="45" t="n"/>
      <c r="N217" s="45" t="n"/>
      <c r="O217" s="46" t="n"/>
      <c r="P217" s="45" t="n"/>
      <c r="Q217" s="45" t="n"/>
      <c r="R217" s="45" t="str">
        <f>IF(AND(A217="",B217=""),"",IF(A217="","Missing ID",IF(COUNTIF($A:$A,A217)&gt;1,"Duplicate ID",IF(B217="","Missing title",IF(C217="","Missing module",IF(J217="","Missing steps",IF(K217="","Missing expected result",IF(AND(F217=St_Failed,L217=""),"Add actual result","OK"))))))))</f>
        <v/>
      </c>
    </row>
    <row r="218" ht="32" customHeight="1">
      <c r="A218" s="44" t="n"/>
      <c r="B218" s="45" t="n"/>
      <c r="C218" s="45" t="n"/>
      <c r="D218" s="45" t="n"/>
      <c r="E218" s="44" t="n"/>
      <c r="F218" s="44" t="n"/>
      <c r="G218" s="44" t="n"/>
      <c r="H218" s="45" t="n"/>
      <c r="I218" s="45" t="n"/>
      <c r="J218" s="45" t="n"/>
      <c r="K218" s="45" t="n"/>
      <c r="L218" s="45" t="n"/>
      <c r="M218" s="45" t="n"/>
      <c r="N218" s="45" t="n"/>
      <c r="O218" s="46" t="n"/>
      <c r="P218" s="45" t="n"/>
      <c r="Q218" s="45" t="n"/>
      <c r="R218" s="45" t="str">
        <f>IF(AND(A218="",B218=""),"",IF(A218="","Missing ID",IF(COUNTIF($A:$A,A218)&gt;1,"Duplicate ID",IF(B218="","Missing title",IF(C218="","Missing module",IF(J218="","Missing steps",IF(K218="","Missing expected result",IF(AND(F218=St_Failed,L218=""),"Add actual result","OK"))))))))</f>
        <v/>
      </c>
    </row>
    <row r="219" ht="32" customHeight="1">
      <c r="A219" s="44" t="n"/>
      <c r="B219" s="45" t="n"/>
      <c r="C219" s="45" t="n"/>
      <c r="D219" s="45" t="n"/>
      <c r="E219" s="44" t="n"/>
      <c r="F219" s="44" t="n"/>
      <c r="G219" s="44" t="n"/>
      <c r="H219" s="45" t="n"/>
      <c r="I219" s="45" t="n"/>
      <c r="J219" s="45" t="n"/>
      <c r="K219" s="45" t="n"/>
      <c r="L219" s="45" t="n"/>
      <c r="M219" s="45" t="n"/>
      <c r="N219" s="45" t="n"/>
      <c r="O219" s="46" t="n"/>
      <c r="P219" s="45" t="n"/>
      <c r="Q219" s="45" t="n"/>
      <c r="R219" s="45" t="str">
        <f>IF(AND(A219="",B219=""),"",IF(A219="","Missing ID",IF(COUNTIF($A:$A,A219)&gt;1,"Duplicate ID",IF(B219="","Missing title",IF(C219="","Missing module",IF(J219="","Missing steps",IF(K219="","Missing expected result",IF(AND(F219=St_Failed,L219=""),"Add actual result","OK"))))))))</f>
        <v/>
      </c>
    </row>
    <row r="220" ht="32" customHeight="1">
      <c r="A220" s="44" t="n"/>
      <c r="B220" s="45" t="n"/>
      <c r="C220" s="45" t="n"/>
      <c r="D220" s="45" t="n"/>
      <c r="E220" s="44" t="n"/>
      <c r="F220" s="44" t="n"/>
      <c r="G220" s="44" t="n"/>
      <c r="H220" s="45" t="n"/>
      <c r="I220" s="45" t="n"/>
      <c r="J220" s="45" t="n"/>
      <c r="K220" s="45" t="n"/>
      <c r="L220" s="45" t="n"/>
      <c r="M220" s="45" t="n"/>
      <c r="N220" s="45" t="n"/>
      <c r="O220" s="46" t="n"/>
      <c r="P220" s="45" t="n"/>
      <c r="Q220" s="45" t="n"/>
      <c r="R220" s="45" t="str">
        <f>IF(AND(A220="",B220=""),"",IF(A220="","Missing ID",IF(COUNTIF($A:$A,A220)&gt;1,"Duplicate ID",IF(B220="","Missing title",IF(C220="","Missing module",IF(J220="","Missing steps",IF(K220="","Missing expected result",IF(AND(F220=St_Failed,L220=""),"Add actual result","OK"))))))))</f>
        <v/>
      </c>
    </row>
    <row r="221" ht="32" customHeight="1">
      <c r="A221" s="44" t="n"/>
      <c r="B221" s="45" t="n"/>
      <c r="C221" s="45" t="n"/>
      <c r="D221" s="45" t="n"/>
      <c r="E221" s="44" t="n"/>
      <c r="F221" s="44" t="n"/>
      <c r="G221" s="44" t="n"/>
      <c r="H221" s="45" t="n"/>
      <c r="I221" s="45" t="n"/>
      <c r="J221" s="45" t="n"/>
      <c r="K221" s="45" t="n"/>
      <c r="L221" s="45" t="n"/>
      <c r="M221" s="45" t="n"/>
      <c r="N221" s="45" t="n"/>
      <c r="O221" s="46" t="n"/>
      <c r="P221" s="45" t="n"/>
      <c r="Q221" s="45" t="n"/>
      <c r="R221" s="45" t="str">
        <f>IF(AND(A221="",B221=""),"",IF(A221="","Missing ID",IF(COUNTIF($A:$A,A221)&gt;1,"Duplicate ID",IF(B221="","Missing title",IF(C221="","Missing module",IF(J221="","Missing steps",IF(K221="","Missing expected result",IF(AND(F221=St_Failed,L221=""),"Add actual result","OK"))))))))</f>
        <v/>
      </c>
    </row>
    <row r="222" ht="32" customHeight="1">
      <c r="A222" s="44" t="n"/>
      <c r="B222" s="45" t="n"/>
      <c r="C222" s="45" t="n"/>
      <c r="D222" s="45" t="n"/>
      <c r="E222" s="44" t="n"/>
      <c r="F222" s="44" t="n"/>
      <c r="G222" s="44" t="n"/>
      <c r="H222" s="45" t="n"/>
      <c r="I222" s="45" t="n"/>
      <c r="J222" s="45" t="n"/>
      <c r="K222" s="45" t="n"/>
      <c r="L222" s="45" t="n"/>
      <c r="M222" s="45" t="n"/>
      <c r="N222" s="45" t="n"/>
      <c r="O222" s="46" t="n"/>
      <c r="P222" s="45" t="n"/>
      <c r="Q222" s="45" t="n"/>
      <c r="R222" s="45" t="str">
        <f>IF(AND(A222="",B222=""),"",IF(A222="","Missing ID",IF(COUNTIF($A:$A,A222)&gt;1,"Duplicate ID",IF(B222="","Missing title",IF(C222="","Missing module",IF(J222="","Missing steps",IF(K222="","Missing expected result",IF(AND(F222=St_Failed,L222=""),"Add actual result","OK"))))))))</f>
        <v/>
      </c>
    </row>
    <row r="223" ht="32" customHeight="1">
      <c r="A223" s="44" t="n"/>
      <c r="B223" s="45" t="n"/>
      <c r="C223" s="45" t="n"/>
      <c r="D223" s="45" t="n"/>
      <c r="E223" s="44" t="n"/>
      <c r="F223" s="44" t="n"/>
      <c r="G223" s="44" t="n"/>
      <c r="H223" s="45" t="n"/>
      <c r="I223" s="45" t="n"/>
      <c r="J223" s="45" t="n"/>
      <c r="K223" s="45" t="n"/>
      <c r="L223" s="45" t="n"/>
      <c r="M223" s="45" t="n"/>
      <c r="N223" s="45" t="n"/>
      <c r="O223" s="46" t="n"/>
      <c r="P223" s="45" t="n"/>
      <c r="Q223" s="45" t="n"/>
      <c r="R223" s="45" t="str">
        <f>IF(AND(A223="",B223=""),"",IF(A223="","Missing ID",IF(COUNTIF($A:$A,A223)&gt;1,"Duplicate ID",IF(B223="","Missing title",IF(C223="","Missing module",IF(J223="","Missing steps",IF(K223="","Missing expected result",IF(AND(F223=St_Failed,L223=""),"Add actual result","OK"))))))))</f>
        <v/>
      </c>
    </row>
    <row r="224" ht="32" customHeight="1">
      <c r="A224" s="44" t="n"/>
      <c r="B224" s="45" t="n"/>
      <c r="C224" s="45" t="n"/>
      <c r="D224" s="45" t="n"/>
      <c r="E224" s="44" t="n"/>
      <c r="F224" s="44" t="n"/>
      <c r="G224" s="44" t="n"/>
      <c r="H224" s="45" t="n"/>
      <c r="I224" s="45" t="n"/>
      <c r="J224" s="45" t="n"/>
      <c r="K224" s="45" t="n"/>
      <c r="L224" s="45" t="n"/>
      <c r="M224" s="45" t="n"/>
      <c r="N224" s="45" t="n"/>
      <c r="O224" s="46" t="n"/>
      <c r="P224" s="45" t="n"/>
      <c r="Q224" s="45" t="n"/>
      <c r="R224" s="45" t="str">
        <f>IF(AND(A224="",B224=""),"",IF(A224="","Missing ID",IF(COUNTIF($A:$A,A224)&gt;1,"Duplicate ID",IF(B224="","Missing title",IF(C224="","Missing module",IF(J224="","Missing steps",IF(K224="","Missing expected result",IF(AND(F224=St_Failed,L224=""),"Add actual result","OK"))))))))</f>
        <v/>
      </c>
    </row>
    <row r="225" ht="32" customHeight="1">
      <c r="A225" s="44" t="n"/>
      <c r="B225" s="45" t="n"/>
      <c r="C225" s="45" t="n"/>
      <c r="D225" s="45" t="n"/>
      <c r="E225" s="44" t="n"/>
      <c r="F225" s="44" t="n"/>
      <c r="G225" s="44" t="n"/>
      <c r="H225" s="45" t="n"/>
      <c r="I225" s="45" t="n"/>
      <c r="J225" s="45" t="n"/>
      <c r="K225" s="45" t="n"/>
      <c r="L225" s="45" t="n"/>
      <c r="M225" s="45" t="n"/>
      <c r="N225" s="45" t="n"/>
      <c r="O225" s="46" t="n"/>
      <c r="P225" s="45" t="n"/>
      <c r="Q225" s="45" t="n"/>
      <c r="R225" s="45" t="str">
        <f>IF(AND(A225="",B225=""),"",IF(A225="","Missing ID",IF(COUNTIF($A:$A,A225)&gt;1,"Duplicate ID",IF(B225="","Missing title",IF(C225="","Missing module",IF(J225="","Missing steps",IF(K225="","Missing expected result",IF(AND(F225=St_Failed,L225=""),"Add actual result","OK"))))))))</f>
        <v/>
      </c>
    </row>
    <row r="226" ht="32" customHeight="1">
      <c r="A226" s="44" t="n"/>
      <c r="B226" s="45" t="n"/>
      <c r="C226" s="45" t="n"/>
      <c r="D226" s="45" t="n"/>
      <c r="E226" s="44" t="n"/>
      <c r="F226" s="44" t="n"/>
      <c r="G226" s="44" t="n"/>
      <c r="H226" s="45" t="n"/>
      <c r="I226" s="45" t="n"/>
      <c r="J226" s="45" t="n"/>
      <c r="K226" s="45" t="n"/>
      <c r="L226" s="45" t="n"/>
      <c r="M226" s="45" t="n"/>
      <c r="N226" s="45" t="n"/>
      <c r="O226" s="46" t="n"/>
      <c r="P226" s="45" t="n"/>
      <c r="Q226" s="45" t="n"/>
      <c r="R226" s="45" t="str">
        <f>IF(AND(A226="",B226=""),"",IF(A226="","Missing ID",IF(COUNTIF($A:$A,A226)&gt;1,"Duplicate ID",IF(B226="","Missing title",IF(C226="","Missing module",IF(J226="","Missing steps",IF(K226="","Missing expected result",IF(AND(F226=St_Failed,L226=""),"Add actual result","OK"))))))))</f>
        <v/>
      </c>
    </row>
    <row r="227" ht="32" customHeight="1">
      <c r="A227" s="44" t="n"/>
      <c r="B227" s="45" t="n"/>
      <c r="C227" s="45" t="n"/>
      <c r="D227" s="45" t="n"/>
      <c r="E227" s="44" t="n"/>
      <c r="F227" s="44" t="n"/>
      <c r="G227" s="44" t="n"/>
      <c r="H227" s="45" t="n"/>
      <c r="I227" s="45" t="n"/>
      <c r="J227" s="45" t="n"/>
      <c r="K227" s="45" t="n"/>
      <c r="L227" s="45" t="n"/>
      <c r="M227" s="45" t="n"/>
      <c r="N227" s="45" t="n"/>
      <c r="O227" s="46" t="n"/>
      <c r="P227" s="45" t="n"/>
      <c r="Q227" s="45" t="n"/>
      <c r="R227" s="45" t="str">
        <f>IF(AND(A227="",B227=""),"",IF(A227="","Missing ID",IF(COUNTIF($A:$A,A227)&gt;1,"Duplicate ID",IF(B227="","Missing title",IF(C227="","Missing module",IF(J227="","Missing steps",IF(K227="","Missing expected result",IF(AND(F227=St_Failed,L227=""),"Add actual result","OK"))))))))</f>
        <v/>
      </c>
    </row>
    <row r="228" ht="32" customHeight="1">
      <c r="A228" s="44" t="n"/>
      <c r="B228" s="45" t="n"/>
      <c r="C228" s="45" t="n"/>
      <c r="D228" s="45" t="n"/>
      <c r="E228" s="44" t="n"/>
      <c r="F228" s="44" t="n"/>
      <c r="G228" s="44" t="n"/>
      <c r="H228" s="45" t="n"/>
      <c r="I228" s="45" t="n"/>
      <c r="J228" s="45" t="n"/>
      <c r="K228" s="45" t="n"/>
      <c r="L228" s="45" t="n"/>
      <c r="M228" s="45" t="n"/>
      <c r="N228" s="45" t="n"/>
      <c r="O228" s="46" t="n"/>
      <c r="P228" s="45" t="n"/>
      <c r="Q228" s="45" t="n"/>
      <c r="R228" s="45" t="str">
        <f>IF(AND(A228="",B228=""),"",IF(A228="","Missing ID",IF(COUNTIF($A:$A,A228)&gt;1,"Duplicate ID",IF(B228="","Missing title",IF(C228="","Missing module",IF(J228="","Missing steps",IF(K228="","Missing expected result",IF(AND(F228=St_Failed,L228=""),"Add actual result","OK"))))))))</f>
        <v/>
      </c>
    </row>
    <row r="229" ht="32" customHeight="1">
      <c r="A229" s="44" t="n"/>
      <c r="B229" s="45" t="n"/>
      <c r="C229" s="45" t="n"/>
      <c r="D229" s="45" t="n"/>
      <c r="E229" s="44" t="n"/>
      <c r="F229" s="44" t="n"/>
      <c r="G229" s="44" t="n"/>
      <c r="H229" s="45" t="n"/>
      <c r="I229" s="45" t="n"/>
      <c r="J229" s="45" t="n"/>
      <c r="K229" s="45" t="n"/>
      <c r="L229" s="45" t="n"/>
      <c r="M229" s="45" t="n"/>
      <c r="N229" s="45" t="n"/>
      <c r="O229" s="46" t="n"/>
      <c r="P229" s="45" t="n"/>
      <c r="Q229" s="45" t="n"/>
      <c r="R229" s="45" t="str">
        <f>IF(AND(A229="",B229=""),"",IF(A229="","Missing ID",IF(COUNTIF($A:$A,A229)&gt;1,"Duplicate ID",IF(B229="","Missing title",IF(C229="","Missing module",IF(J229="","Missing steps",IF(K229="","Missing expected result",IF(AND(F229=St_Failed,L229=""),"Add actual result","OK"))))))))</f>
        <v/>
      </c>
    </row>
    <row r="230" ht="32" customHeight="1">
      <c r="A230" s="44" t="n"/>
      <c r="B230" s="45" t="n"/>
      <c r="C230" s="45" t="n"/>
      <c r="D230" s="45" t="n"/>
      <c r="E230" s="44" t="n"/>
      <c r="F230" s="44" t="n"/>
      <c r="G230" s="44" t="n"/>
      <c r="H230" s="45" t="n"/>
      <c r="I230" s="45" t="n"/>
      <c r="J230" s="45" t="n"/>
      <c r="K230" s="45" t="n"/>
      <c r="L230" s="45" t="n"/>
      <c r="M230" s="45" t="n"/>
      <c r="N230" s="45" t="n"/>
      <c r="O230" s="46" t="n"/>
      <c r="P230" s="45" t="n"/>
      <c r="Q230" s="45" t="n"/>
      <c r="R230" s="45" t="str">
        <f>IF(AND(A230="",B230=""),"",IF(A230="","Missing ID",IF(COUNTIF($A:$A,A230)&gt;1,"Duplicate ID",IF(B230="","Missing title",IF(C230="","Missing module",IF(J230="","Missing steps",IF(K230="","Missing expected result",IF(AND(F230=St_Failed,L230=""),"Add actual result","OK"))))))))</f>
        <v/>
      </c>
    </row>
    <row r="231" ht="32" customHeight="1">
      <c r="A231" s="44" t="n"/>
      <c r="B231" s="45" t="n"/>
      <c r="C231" s="45" t="n"/>
      <c r="D231" s="45" t="n"/>
      <c r="E231" s="44" t="n"/>
      <c r="F231" s="44" t="n"/>
      <c r="G231" s="44" t="n"/>
      <c r="H231" s="45" t="n"/>
      <c r="I231" s="45" t="n"/>
      <c r="J231" s="45" t="n"/>
      <c r="K231" s="45" t="n"/>
      <c r="L231" s="45" t="n"/>
      <c r="M231" s="45" t="n"/>
      <c r="N231" s="45" t="n"/>
      <c r="O231" s="46" t="n"/>
      <c r="P231" s="45" t="n"/>
      <c r="Q231" s="45" t="n"/>
      <c r="R231" s="45" t="str">
        <f>IF(AND(A231="",B231=""),"",IF(A231="","Missing ID",IF(COUNTIF($A:$A,A231)&gt;1,"Duplicate ID",IF(B231="","Missing title",IF(C231="","Missing module",IF(J231="","Missing steps",IF(K231="","Missing expected result",IF(AND(F231=St_Failed,L231=""),"Add actual result","OK"))))))))</f>
        <v/>
      </c>
    </row>
    <row r="232" ht="32" customHeight="1">
      <c r="A232" s="44" t="n"/>
      <c r="B232" s="45" t="n"/>
      <c r="C232" s="45" t="n"/>
      <c r="D232" s="45" t="n"/>
      <c r="E232" s="44" t="n"/>
      <c r="F232" s="44" t="n"/>
      <c r="G232" s="44" t="n"/>
      <c r="H232" s="45" t="n"/>
      <c r="I232" s="45" t="n"/>
      <c r="J232" s="45" t="n"/>
      <c r="K232" s="45" t="n"/>
      <c r="L232" s="45" t="n"/>
      <c r="M232" s="45" t="n"/>
      <c r="N232" s="45" t="n"/>
      <c r="O232" s="46" t="n"/>
      <c r="P232" s="45" t="n"/>
      <c r="Q232" s="45" t="n"/>
      <c r="R232" s="45" t="str">
        <f>IF(AND(A232="",B232=""),"",IF(A232="","Missing ID",IF(COUNTIF($A:$A,A232)&gt;1,"Duplicate ID",IF(B232="","Missing title",IF(C232="","Missing module",IF(J232="","Missing steps",IF(K232="","Missing expected result",IF(AND(F232=St_Failed,L232=""),"Add actual result","OK"))))))))</f>
        <v/>
      </c>
    </row>
    <row r="233" ht="32" customHeight="1">
      <c r="A233" s="44" t="n"/>
      <c r="B233" s="45" t="n"/>
      <c r="C233" s="45" t="n"/>
      <c r="D233" s="45" t="n"/>
      <c r="E233" s="44" t="n"/>
      <c r="F233" s="44" t="n"/>
      <c r="G233" s="44" t="n"/>
      <c r="H233" s="45" t="n"/>
      <c r="I233" s="45" t="n"/>
      <c r="J233" s="45" t="n"/>
      <c r="K233" s="45" t="n"/>
      <c r="L233" s="45" t="n"/>
      <c r="M233" s="45" t="n"/>
      <c r="N233" s="45" t="n"/>
      <c r="O233" s="46" t="n"/>
      <c r="P233" s="45" t="n"/>
      <c r="Q233" s="45" t="n"/>
      <c r="R233" s="45" t="str">
        <f>IF(AND(A233="",B233=""),"",IF(A233="","Missing ID",IF(COUNTIF($A:$A,A233)&gt;1,"Duplicate ID",IF(B233="","Missing title",IF(C233="","Missing module",IF(J233="","Missing steps",IF(K233="","Missing expected result",IF(AND(F233=St_Failed,L233=""),"Add actual result","OK"))))))))</f>
        <v/>
      </c>
    </row>
    <row r="234" ht="32" customHeight="1">
      <c r="A234" s="44" t="n"/>
      <c r="B234" s="45" t="n"/>
      <c r="C234" s="45" t="n"/>
      <c r="D234" s="45" t="n"/>
      <c r="E234" s="44" t="n"/>
      <c r="F234" s="44" t="n"/>
      <c r="G234" s="44" t="n"/>
      <c r="H234" s="45" t="n"/>
      <c r="I234" s="45" t="n"/>
      <c r="J234" s="45" t="n"/>
      <c r="K234" s="45" t="n"/>
      <c r="L234" s="45" t="n"/>
      <c r="M234" s="45" t="n"/>
      <c r="N234" s="45" t="n"/>
      <c r="O234" s="46" t="n"/>
      <c r="P234" s="45" t="n"/>
      <c r="Q234" s="45" t="n"/>
      <c r="R234" s="45" t="str">
        <f>IF(AND(A234="",B234=""),"",IF(A234="","Missing ID",IF(COUNTIF($A:$A,A234)&gt;1,"Duplicate ID",IF(B234="","Missing title",IF(C234="","Missing module",IF(J234="","Missing steps",IF(K234="","Missing expected result",IF(AND(F234=St_Failed,L234=""),"Add actual result","OK"))))))))</f>
        <v/>
      </c>
    </row>
    <row r="235" ht="32" customHeight="1">
      <c r="A235" s="44" t="n"/>
      <c r="B235" s="45" t="n"/>
      <c r="C235" s="45" t="n"/>
      <c r="D235" s="45" t="n"/>
      <c r="E235" s="44" t="n"/>
      <c r="F235" s="44" t="n"/>
      <c r="G235" s="44" t="n"/>
      <c r="H235" s="45" t="n"/>
      <c r="I235" s="45" t="n"/>
      <c r="J235" s="45" t="n"/>
      <c r="K235" s="45" t="n"/>
      <c r="L235" s="45" t="n"/>
      <c r="M235" s="45" t="n"/>
      <c r="N235" s="45" t="n"/>
      <c r="O235" s="46" t="n"/>
      <c r="P235" s="45" t="n"/>
      <c r="Q235" s="45" t="n"/>
      <c r="R235" s="45" t="str">
        <f>IF(AND(A235="",B235=""),"",IF(A235="","Missing ID",IF(COUNTIF($A:$A,A235)&gt;1,"Duplicate ID",IF(B235="","Missing title",IF(C235="","Missing module",IF(J235="","Missing steps",IF(K235="","Missing expected result",IF(AND(F235=St_Failed,L235=""),"Add actual result","OK"))))))))</f>
        <v/>
      </c>
    </row>
    <row r="236" ht="32" customHeight="1">
      <c r="A236" s="44" t="n"/>
      <c r="B236" s="45" t="n"/>
      <c r="C236" s="45" t="n"/>
      <c r="D236" s="45" t="n"/>
      <c r="E236" s="44" t="n"/>
      <c r="F236" s="44" t="n"/>
      <c r="G236" s="44" t="n"/>
      <c r="H236" s="45" t="n"/>
      <c r="I236" s="45" t="n"/>
      <c r="J236" s="45" t="n"/>
      <c r="K236" s="45" t="n"/>
      <c r="L236" s="45" t="n"/>
      <c r="M236" s="45" t="n"/>
      <c r="N236" s="45" t="n"/>
      <c r="O236" s="46" t="n"/>
      <c r="P236" s="45" t="n"/>
      <c r="Q236" s="45" t="n"/>
      <c r="R236" s="45" t="str">
        <f>IF(AND(A236="",B236=""),"",IF(A236="","Missing ID",IF(COUNTIF($A:$A,A236)&gt;1,"Duplicate ID",IF(B236="","Missing title",IF(C236="","Missing module",IF(J236="","Missing steps",IF(K236="","Missing expected result",IF(AND(F236=St_Failed,L236=""),"Add actual result","OK"))))))))</f>
        <v/>
      </c>
    </row>
    <row r="237" ht="32" customHeight="1">
      <c r="A237" s="44" t="n"/>
      <c r="B237" s="45" t="n"/>
      <c r="C237" s="45" t="n"/>
      <c r="D237" s="45" t="n"/>
      <c r="E237" s="44" t="n"/>
      <c r="F237" s="44" t="n"/>
      <c r="G237" s="44" t="n"/>
      <c r="H237" s="45" t="n"/>
      <c r="I237" s="45" t="n"/>
      <c r="J237" s="45" t="n"/>
      <c r="K237" s="45" t="n"/>
      <c r="L237" s="45" t="n"/>
      <c r="M237" s="45" t="n"/>
      <c r="N237" s="45" t="n"/>
      <c r="O237" s="46" t="n"/>
      <c r="P237" s="45" t="n"/>
      <c r="Q237" s="45" t="n"/>
      <c r="R237" s="45" t="str">
        <f>IF(AND(A237="",B237=""),"",IF(A237="","Missing ID",IF(COUNTIF($A:$A,A237)&gt;1,"Duplicate ID",IF(B237="","Missing title",IF(C237="","Missing module",IF(J237="","Missing steps",IF(K237="","Missing expected result",IF(AND(F237=St_Failed,L237=""),"Add actual result","OK"))))))))</f>
        <v/>
      </c>
    </row>
    <row r="238" ht="32" customHeight="1">
      <c r="A238" s="44" t="n"/>
      <c r="B238" s="45" t="n"/>
      <c r="C238" s="45" t="n"/>
      <c r="D238" s="45" t="n"/>
      <c r="E238" s="44" t="n"/>
      <c r="F238" s="44" t="n"/>
      <c r="G238" s="44" t="n"/>
      <c r="H238" s="45" t="n"/>
      <c r="I238" s="45" t="n"/>
      <c r="J238" s="45" t="n"/>
      <c r="K238" s="45" t="n"/>
      <c r="L238" s="45" t="n"/>
      <c r="M238" s="45" t="n"/>
      <c r="N238" s="45" t="n"/>
      <c r="O238" s="46" t="n"/>
      <c r="P238" s="45" t="n"/>
      <c r="Q238" s="45" t="n"/>
      <c r="R238" s="45" t="str">
        <f>IF(AND(A238="",B238=""),"",IF(A238="","Missing ID",IF(COUNTIF($A:$A,A238)&gt;1,"Duplicate ID",IF(B238="","Missing title",IF(C238="","Missing module",IF(J238="","Missing steps",IF(K238="","Missing expected result",IF(AND(F238=St_Failed,L238=""),"Add actual result","OK"))))))))</f>
        <v/>
      </c>
    </row>
    <row r="239" ht="32" customHeight="1">
      <c r="A239" s="44" t="n"/>
      <c r="B239" s="45" t="n"/>
      <c r="C239" s="45" t="n"/>
      <c r="D239" s="45" t="n"/>
      <c r="E239" s="44" t="n"/>
      <c r="F239" s="44" t="n"/>
      <c r="G239" s="44" t="n"/>
      <c r="H239" s="45" t="n"/>
      <c r="I239" s="45" t="n"/>
      <c r="J239" s="45" t="n"/>
      <c r="K239" s="45" t="n"/>
      <c r="L239" s="45" t="n"/>
      <c r="M239" s="45" t="n"/>
      <c r="N239" s="45" t="n"/>
      <c r="O239" s="46" t="n"/>
      <c r="P239" s="45" t="n"/>
      <c r="Q239" s="45" t="n"/>
      <c r="R239" s="45" t="str">
        <f>IF(AND(A239="",B239=""),"",IF(A239="","Missing ID",IF(COUNTIF($A:$A,A239)&gt;1,"Duplicate ID",IF(B239="","Missing title",IF(C239="","Missing module",IF(J239="","Missing steps",IF(K239="","Missing expected result",IF(AND(F239=St_Failed,L239=""),"Add actual result","OK"))))))))</f>
        <v/>
      </c>
    </row>
    <row r="240" ht="32" customHeight="1">
      <c r="A240" s="44" t="n"/>
      <c r="B240" s="45" t="n"/>
      <c r="C240" s="45" t="n"/>
      <c r="D240" s="45" t="n"/>
      <c r="E240" s="44" t="n"/>
      <c r="F240" s="44" t="n"/>
      <c r="G240" s="44" t="n"/>
      <c r="H240" s="45" t="n"/>
      <c r="I240" s="45" t="n"/>
      <c r="J240" s="45" t="n"/>
      <c r="K240" s="45" t="n"/>
      <c r="L240" s="45" t="n"/>
      <c r="M240" s="45" t="n"/>
      <c r="N240" s="45" t="n"/>
      <c r="O240" s="46" t="n"/>
      <c r="P240" s="45" t="n"/>
      <c r="Q240" s="45" t="n"/>
      <c r="R240" s="45" t="str">
        <f>IF(AND(A240="",B240=""),"",IF(A240="","Missing ID",IF(COUNTIF($A:$A,A240)&gt;1,"Duplicate ID",IF(B240="","Missing title",IF(C240="","Missing module",IF(J240="","Missing steps",IF(K240="","Missing expected result",IF(AND(F240=St_Failed,L240=""),"Add actual result","OK"))))))))</f>
        <v/>
      </c>
    </row>
    <row r="241" ht="32" customHeight="1">
      <c r="A241" s="44" t="n"/>
      <c r="B241" s="45" t="n"/>
      <c r="C241" s="45" t="n"/>
      <c r="D241" s="45" t="n"/>
      <c r="E241" s="44" t="n"/>
      <c r="F241" s="44" t="n"/>
      <c r="G241" s="44" t="n"/>
      <c r="H241" s="45" t="n"/>
      <c r="I241" s="45" t="n"/>
      <c r="J241" s="45" t="n"/>
      <c r="K241" s="45" t="n"/>
      <c r="L241" s="45" t="n"/>
      <c r="M241" s="45" t="n"/>
      <c r="N241" s="45" t="n"/>
      <c r="O241" s="46" t="n"/>
      <c r="P241" s="45" t="n"/>
      <c r="Q241" s="45" t="n"/>
      <c r="R241" s="45" t="str">
        <f>IF(AND(A241="",B241=""),"",IF(A241="","Missing ID",IF(COUNTIF($A:$A,A241)&gt;1,"Duplicate ID",IF(B241="","Missing title",IF(C241="","Missing module",IF(J241="","Missing steps",IF(K241="","Missing expected result",IF(AND(F241=St_Failed,L241=""),"Add actual result","OK"))))))))</f>
        <v/>
      </c>
    </row>
    <row r="242" ht="32" customHeight="1">
      <c r="A242" s="44" t="n"/>
      <c r="B242" s="45" t="n"/>
      <c r="C242" s="45" t="n"/>
      <c r="D242" s="45" t="n"/>
      <c r="E242" s="44" t="n"/>
      <c r="F242" s="44" t="n"/>
      <c r="G242" s="44" t="n"/>
      <c r="H242" s="45" t="n"/>
      <c r="I242" s="45" t="n"/>
      <c r="J242" s="45" t="n"/>
      <c r="K242" s="45" t="n"/>
      <c r="L242" s="45" t="n"/>
      <c r="M242" s="45" t="n"/>
      <c r="N242" s="45" t="n"/>
      <c r="O242" s="46" t="n"/>
      <c r="P242" s="45" t="n"/>
      <c r="Q242" s="45" t="n"/>
      <c r="R242" s="45" t="str">
        <f>IF(AND(A242="",B242=""),"",IF(A242="","Missing ID",IF(COUNTIF($A:$A,A242)&gt;1,"Duplicate ID",IF(B242="","Missing title",IF(C242="","Missing module",IF(J242="","Missing steps",IF(K242="","Missing expected result",IF(AND(F242=St_Failed,L242=""),"Add actual result","OK"))))))))</f>
        <v/>
      </c>
    </row>
    <row r="243" ht="32" customHeight="1">
      <c r="A243" s="44" t="n"/>
      <c r="B243" s="45" t="n"/>
      <c r="C243" s="45" t="n"/>
      <c r="D243" s="45" t="n"/>
      <c r="E243" s="44" t="n"/>
      <c r="F243" s="44" t="n"/>
      <c r="G243" s="44" t="n"/>
      <c r="H243" s="45" t="n"/>
      <c r="I243" s="45" t="n"/>
      <c r="J243" s="45" t="n"/>
      <c r="K243" s="45" t="n"/>
      <c r="L243" s="45" t="n"/>
      <c r="M243" s="45" t="n"/>
      <c r="N243" s="45" t="n"/>
      <c r="O243" s="46" t="n"/>
      <c r="P243" s="45" t="n"/>
      <c r="Q243" s="45" t="n"/>
      <c r="R243" s="45" t="str">
        <f>IF(AND(A243="",B243=""),"",IF(A243="","Missing ID",IF(COUNTIF($A:$A,A243)&gt;1,"Duplicate ID",IF(B243="","Missing title",IF(C243="","Missing module",IF(J243="","Missing steps",IF(K243="","Missing expected result",IF(AND(F243=St_Failed,L243=""),"Add actual result","OK"))))))))</f>
        <v/>
      </c>
    </row>
    <row r="244" ht="32" customHeight="1">
      <c r="A244" s="44" t="n"/>
      <c r="B244" s="45" t="n"/>
      <c r="C244" s="45" t="n"/>
      <c r="D244" s="45" t="n"/>
      <c r="E244" s="44" t="n"/>
      <c r="F244" s="44" t="n"/>
      <c r="G244" s="44" t="n"/>
      <c r="H244" s="45" t="n"/>
      <c r="I244" s="45" t="n"/>
      <c r="J244" s="45" t="n"/>
      <c r="K244" s="45" t="n"/>
      <c r="L244" s="45" t="n"/>
      <c r="M244" s="45" t="n"/>
      <c r="N244" s="45" t="n"/>
      <c r="O244" s="46" t="n"/>
      <c r="P244" s="45" t="n"/>
      <c r="Q244" s="45" t="n"/>
      <c r="R244" s="45" t="str">
        <f>IF(AND(A244="",B244=""),"",IF(A244="","Missing ID",IF(COUNTIF($A:$A,A244)&gt;1,"Duplicate ID",IF(B244="","Missing title",IF(C244="","Missing module",IF(J244="","Missing steps",IF(K244="","Missing expected result",IF(AND(F244=St_Failed,L244=""),"Add actual result","OK"))))))))</f>
        <v/>
      </c>
    </row>
    <row r="245" ht="32" customHeight="1">
      <c r="A245" s="44" t="n"/>
      <c r="B245" s="45" t="n"/>
      <c r="C245" s="45" t="n"/>
      <c r="D245" s="45" t="n"/>
      <c r="E245" s="44" t="n"/>
      <c r="F245" s="44" t="n"/>
      <c r="G245" s="44" t="n"/>
      <c r="H245" s="45" t="n"/>
      <c r="I245" s="45" t="n"/>
      <c r="J245" s="45" t="n"/>
      <c r="K245" s="45" t="n"/>
      <c r="L245" s="45" t="n"/>
      <c r="M245" s="45" t="n"/>
      <c r="N245" s="45" t="n"/>
      <c r="O245" s="46" t="n"/>
      <c r="P245" s="45" t="n"/>
      <c r="Q245" s="45" t="n"/>
      <c r="R245" s="45" t="str">
        <f>IF(AND(A245="",B245=""),"",IF(A245="","Missing ID",IF(COUNTIF($A:$A,A245)&gt;1,"Duplicate ID",IF(B245="","Missing title",IF(C245="","Missing module",IF(J245="","Missing steps",IF(K245="","Missing expected result",IF(AND(F245=St_Failed,L245=""),"Add actual result","OK"))))))))</f>
        <v/>
      </c>
    </row>
    <row r="246" ht="32" customHeight="1">
      <c r="A246" s="44" t="n"/>
      <c r="B246" s="45" t="n"/>
      <c r="C246" s="45" t="n"/>
      <c r="D246" s="45" t="n"/>
      <c r="E246" s="44" t="n"/>
      <c r="F246" s="44" t="n"/>
      <c r="G246" s="44" t="n"/>
      <c r="H246" s="45" t="n"/>
      <c r="I246" s="45" t="n"/>
      <c r="J246" s="45" t="n"/>
      <c r="K246" s="45" t="n"/>
      <c r="L246" s="45" t="n"/>
      <c r="M246" s="45" t="n"/>
      <c r="N246" s="45" t="n"/>
      <c r="O246" s="46" t="n"/>
      <c r="P246" s="45" t="n"/>
      <c r="Q246" s="45" t="n"/>
      <c r="R246" s="45" t="str">
        <f>IF(AND(A246="",B246=""),"",IF(A246="","Missing ID",IF(COUNTIF($A:$A,A246)&gt;1,"Duplicate ID",IF(B246="","Missing title",IF(C246="","Missing module",IF(J246="","Missing steps",IF(K246="","Missing expected result",IF(AND(F246=St_Failed,L246=""),"Add actual result","OK"))))))))</f>
        <v/>
      </c>
    </row>
    <row r="247" ht="32" customHeight="1">
      <c r="A247" s="44" t="n"/>
      <c r="B247" s="45" t="n"/>
      <c r="C247" s="45" t="n"/>
      <c r="D247" s="45" t="n"/>
      <c r="E247" s="44" t="n"/>
      <c r="F247" s="44" t="n"/>
      <c r="G247" s="44" t="n"/>
      <c r="H247" s="45" t="n"/>
      <c r="I247" s="45" t="n"/>
      <c r="J247" s="45" t="n"/>
      <c r="K247" s="45" t="n"/>
      <c r="L247" s="45" t="n"/>
      <c r="M247" s="45" t="n"/>
      <c r="N247" s="45" t="n"/>
      <c r="O247" s="46" t="n"/>
      <c r="P247" s="45" t="n"/>
      <c r="Q247" s="45" t="n"/>
      <c r="R247" s="45" t="str">
        <f>IF(AND(A247="",B247=""),"",IF(A247="","Missing ID",IF(COUNTIF($A:$A,A247)&gt;1,"Duplicate ID",IF(B247="","Missing title",IF(C247="","Missing module",IF(J247="","Missing steps",IF(K247="","Missing expected result",IF(AND(F247=St_Failed,L247=""),"Add actual result","OK"))))))))</f>
        <v/>
      </c>
    </row>
    <row r="248" ht="32" customHeight="1">
      <c r="A248" s="44" t="n"/>
      <c r="B248" s="45" t="n"/>
      <c r="C248" s="45" t="n"/>
      <c r="D248" s="45" t="n"/>
      <c r="E248" s="44" t="n"/>
      <c r="F248" s="44" t="n"/>
      <c r="G248" s="44" t="n"/>
      <c r="H248" s="45" t="n"/>
      <c r="I248" s="45" t="n"/>
      <c r="J248" s="45" t="n"/>
      <c r="K248" s="45" t="n"/>
      <c r="L248" s="45" t="n"/>
      <c r="M248" s="45" t="n"/>
      <c r="N248" s="45" t="n"/>
      <c r="O248" s="46" t="n"/>
      <c r="P248" s="45" t="n"/>
      <c r="Q248" s="45" t="n"/>
      <c r="R248" s="45" t="str">
        <f>IF(AND(A248="",B248=""),"",IF(A248="","Missing ID",IF(COUNTIF($A:$A,A248)&gt;1,"Duplicate ID",IF(B248="","Missing title",IF(C248="","Missing module",IF(J248="","Missing steps",IF(K248="","Missing expected result",IF(AND(F248=St_Failed,L248=""),"Add actual result","OK"))))))))</f>
        <v/>
      </c>
    </row>
    <row r="249" ht="32" customHeight="1">
      <c r="A249" s="44" t="n"/>
      <c r="B249" s="45" t="n"/>
      <c r="C249" s="45" t="n"/>
      <c r="D249" s="45" t="n"/>
      <c r="E249" s="44" t="n"/>
      <c r="F249" s="44" t="n"/>
      <c r="G249" s="44" t="n"/>
      <c r="H249" s="45" t="n"/>
      <c r="I249" s="45" t="n"/>
      <c r="J249" s="45" t="n"/>
      <c r="K249" s="45" t="n"/>
      <c r="L249" s="45" t="n"/>
      <c r="M249" s="45" t="n"/>
      <c r="N249" s="45" t="n"/>
      <c r="O249" s="46" t="n"/>
      <c r="P249" s="45" t="n"/>
      <c r="Q249" s="45" t="n"/>
      <c r="R249" s="45" t="str">
        <f>IF(AND(A249="",B249=""),"",IF(A249="","Missing ID",IF(COUNTIF($A:$A,A249)&gt;1,"Duplicate ID",IF(B249="","Missing title",IF(C249="","Missing module",IF(J249="","Missing steps",IF(K249="","Missing expected result",IF(AND(F249=St_Failed,L249=""),"Add actual result","OK"))))))))</f>
        <v/>
      </c>
    </row>
    <row r="250" ht="32" customHeight="1">
      <c r="A250" s="44" t="n"/>
      <c r="B250" s="45" t="n"/>
      <c r="C250" s="45" t="n"/>
      <c r="D250" s="45" t="n"/>
      <c r="E250" s="44" t="n"/>
      <c r="F250" s="44" t="n"/>
      <c r="G250" s="44" t="n"/>
      <c r="H250" s="45" t="n"/>
      <c r="I250" s="45" t="n"/>
      <c r="J250" s="45" t="n"/>
      <c r="K250" s="45" t="n"/>
      <c r="L250" s="45" t="n"/>
      <c r="M250" s="45" t="n"/>
      <c r="N250" s="45" t="n"/>
      <c r="O250" s="46" t="n"/>
      <c r="P250" s="45" t="n"/>
      <c r="Q250" s="45" t="n"/>
      <c r="R250" s="45" t="str">
        <f>IF(AND(A250="",B250=""),"",IF(A250="","Missing ID",IF(COUNTIF($A:$A,A250)&gt;1,"Duplicate ID",IF(B250="","Missing title",IF(C250="","Missing module",IF(J250="","Missing steps",IF(K250="","Missing expected result",IF(AND(F250=St_Failed,L250=""),"Add actual result","OK"))))))))</f>
        <v/>
      </c>
    </row>
    <row r="251" ht="32" customHeight="1">
      <c r="A251" s="44" t="n"/>
      <c r="B251" s="45" t="n"/>
      <c r="C251" s="45" t="n"/>
      <c r="D251" s="45" t="n"/>
      <c r="E251" s="44" t="n"/>
      <c r="F251" s="44" t="n"/>
      <c r="G251" s="44" t="n"/>
      <c r="H251" s="45" t="n"/>
      <c r="I251" s="45" t="n"/>
      <c r="J251" s="45" t="n"/>
      <c r="K251" s="45" t="n"/>
      <c r="L251" s="45" t="n"/>
      <c r="M251" s="45" t="n"/>
      <c r="N251" s="45" t="n"/>
      <c r="O251" s="46" t="n"/>
      <c r="P251" s="45" t="n"/>
      <c r="Q251" s="45" t="n"/>
      <c r="R251" s="45" t="str">
        <f>IF(AND(A251="",B251=""),"",IF(A251="","Missing ID",IF(COUNTIF($A:$A,A251)&gt;1,"Duplicate ID",IF(B251="","Missing title",IF(C251="","Missing module",IF(J251="","Missing steps",IF(K251="","Missing expected result",IF(AND(F251=St_Failed,L251=""),"Add actual result","OK"))))))))</f>
        <v/>
      </c>
    </row>
    <row r="252" ht="32" customHeight="1">
      <c r="A252" s="44" t="n"/>
      <c r="B252" s="45" t="n"/>
      <c r="C252" s="45" t="n"/>
      <c r="D252" s="45" t="n"/>
      <c r="E252" s="44" t="n"/>
      <c r="F252" s="44" t="n"/>
      <c r="G252" s="44" t="n"/>
      <c r="H252" s="45" t="n"/>
      <c r="I252" s="45" t="n"/>
      <c r="J252" s="45" t="n"/>
      <c r="K252" s="45" t="n"/>
      <c r="L252" s="45" t="n"/>
      <c r="M252" s="45" t="n"/>
      <c r="N252" s="45" t="n"/>
      <c r="O252" s="46" t="n"/>
      <c r="P252" s="45" t="n"/>
      <c r="Q252" s="45" t="n"/>
      <c r="R252" s="45" t="str">
        <f>IF(AND(A252="",B252=""),"",IF(A252="","Missing ID",IF(COUNTIF($A:$A,A252)&gt;1,"Duplicate ID",IF(B252="","Missing title",IF(C252="","Missing module",IF(J252="","Missing steps",IF(K252="","Missing expected result",IF(AND(F252=St_Failed,L252=""),"Add actual result","OK"))))))))</f>
        <v/>
      </c>
    </row>
    <row r="253" ht="32" customHeight="1">
      <c r="A253" s="44" t="n"/>
      <c r="B253" s="45" t="n"/>
      <c r="C253" s="45" t="n"/>
      <c r="D253" s="45" t="n"/>
      <c r="E253" s="44" t="n"/>
      <c r="F253" s="44" t="n"/>
      <c r="G253" s="44" t="n"/>
      <c r="H253" s="45" t="n"/>
      <c r="I253" s="45" t="n"/>
      <c r="J253" s="45" t="n"/>
      <c r="K253" s="45" t="n"/>
      <c r="L253" s="45" t="n"/>
      <c r="M253" s="45" t="n"/>
      <c r="N253" s="45" t="n"/>
      <c r="O253" s="46" t="n"/>
      <c r="P253" s="45" t="n"/>
      <c r="Q253" s="45" t="n"/>
      <c r="R253" s="45" t="str">
        <f>IF(AND(A253="",B253=""),"",IF(A253="","Missing ID",IF(COUNTIF($A:$A,A253)&gt;1,"Duplicate ID",IF(B253="","Missing title",IF(C253="","Missing module",IF(J253="","Missing steps",IF(K253="","Missing expected result",IF(AND(F253=St_Failed,L253=""),"Add actual result","OK"))))))))</f>
        <v/>
      </c>
    </row>
    <row r="254" ht="32" customHeight="1">
      <c r="A254" s="44" t="n"/>
      <c r="B254" s="45" t="n"/>
      <c r="C254" s="45" t="n"/>
      <c r="D254" s="45" t="n"/>
      <c r="E254" s="44" t="n"/>
      <c r="F254" s="44" t="n"/>
      <c r="G254" s="44" t="n"/>
      <c r="H254" s="45" t="n"/>
      <c r="I254" s="45" t="n"/>
      <c r="J254" s="45" t="n"/>
      <c r="K254" s="45" t="n"/>
      <c r="L254" s="45" t="n"/>
      <c r="M254" s="45" t="n"/>
      <c r="N254" s="45" t="n"/>
      <c r="O254" s="46" t="n"/>
      <c r="P254" s="45" t="n"/>
      <c r="Q254" s="45" t="n"/>
      <c r="R254" s="45" t="str">
        <f>IF(AND(A254="",B254=""),"",IF(A254="","Missing ID",IF(COUNTIF($A:$A,A254)&gt;1,"Duplicate ID",IF(B254="","Missing title",IF(C254="","Missing module",IF(J254="","Missing steps",IF(K254="","Missing expected result",IF(AND(F254=St_Failed,L254=""),"Add actual result","OK"))))))))</f>
        <v/>
      </c>
    </row>
    <row r="255" ht="32" customHeight="1">
      <c r="A255" s="44" t="n"/>
      <c r="B255" s="45" t="n"/>
      <c r="C255" s="45" t="n"/>
      <c r="D255" s="45" t="n"/>
      <c r="E255" s="44" t="n"/>
      <c r="F255" s="44" t="n"/>
      <c r="G255" s="44" t="n"/>
      <c r="H255" s="45" t="n"/>
      <c r="I255" s="45" t="n"/>
      <c r="J255" s="45" t="n"/>
      <c r="K255" s="45" t="n"/>
      <c r="L255" s="45" t="n"/>
      <c r="M255" s="45" t="n"/>
      <c r="N255" s="45" t="n"/>
      <c r="O255" s="46" t="n"/>
      <c r="P255" s="45" t="n"/>
      <c r="Q255" s="45" t="n"/>
      <c r="R255" s="45" t="str">
        <f>IF(AND(A255="",B255=""),"",IF(A255="","Missing ID",IF(COUNTIF($A:$A,A255)&gt;1,"Duplicate ID",IF(B255="","Missing title",IF(C255="","Missing module",IF(J255="","Missing steps",IF(K255="","Missing expected result",IF(AND(F255=St_Failed,L255=""),"Add actual result","OK"))))))))</f>
        <v/>
      </c>
    </row>
    <row r="256" ht="32" customHeight="1">
      <c r="A256" s="44" t="n"/>
      <c r="B256" s="45" t="n"/>
      <c r="C256" s="45" t="n"/>
      <c r="D256" s="45" t="n"/>
      <c r="E256" s="44" t="n"/>
      <c r="F256" s="44" t="n"/>
      <c r="G256" s="44" t="n"/>
      <c r="H256" s="45" t="n"/>
      <c r="I256" s="45" t="n"/>
      <c r="J256" s="45" t="n"/>
      <c r="K256" s="45" t="n"/>
      <c r="L256" s="45" t="n"/>
      <c r="M256" s="45" t="n"/>
      <c r="N256" s="45" t="n"/>
      <c r="O256" s="46" t="n"/>
      <c r="P256" s="45" t="n"/>
      <c r="Q256" s="45" t="n"/>
      <c r="R256" s="45" t="str">
        <f>IF(AND(A256="",B256=""),"",IF(A256="","Missing ID",IF(COUNTIF($A:$A,A256)&gt;1,"Duplicate ID",IF(B256="","Missing title",IF(C256="","Missing module",IF(J256="","Missing steps",IF(K256="","Missing expected result",IF(AND(F256=St_Failed,L256=""),"Add actual result","OK"))))))))</f>
        <v/>
      </c>
    </row>
    <row r="257" ht="32" customHeight="1">
      <c r="A257" s="44" t="n"/>
      <c r="B257" s="45" t="n"/>
      <c r="C257" s="45" t="n"/>
      <c r="D257" s="45" t="n"/>
      <c r="E257" s="44" t="n"/>
      <c r="F257" s="44" t="n"/>
      <c r="G257" s="44" t="n"/>
      <c r="H257" s="45" t="n"/>
      <c r="I257" s="45" t="n"/>
      <c r="J257" s="45" t="n"/>
      <c r="K257" s="45" t="n"/>
      <c r="L257" s="45" t="n"/>
      <c r="M257" s="45" t="n"/>
      <c r="N257" s="45" t="n"/>
      <c r="O257" s="46" t="n"/>
      <c r="P257" s="45" t="n"/>
      <c r="Q257" s="45" t="n"/>
      <c r="R257" s="45" t="str">
        <f>IF(AND(A257="",B257=""),"",IF(A257="","Missing ID",IF(COUNTIF($A:$A,A257)&gt;1,"Duplicate ID",IF(B257="","Missing title",IF(C257="","Missing module",IF(J257="","Missing steps",IF(K257="","Missing expected result",IF(AND(F257=St_Failed,L257=""),"Add actual result","OK"))))))))</f>
        <v/>
      </c>
    </row>
    <row r="258" ht="32" customHeight="1">
      <c r="A258" s="44" t="n"/>
      <c r="B258" s="45" t="n"/>
      <c r="C258" s="45" t="n"/>
      <c r="D258" s="45" t="n"/>
      <c r="E258" s="44" t="n"/>
      <c r="F258" s="44" t="n"/>
      <c r="G258" s="44" t="n"/>
      <c r="H258" s="45" t="n"/>
      <c r="I258" s="45" t="n"/>
      <c r="J258" s="45" t="n"/>
      <c r="K258" s="45" t="n"/>
      <c r="L258" s="45" t="n"/>
      <c r="M258" s="45" t="n"/>
      <c r="N258" s="45" t="n"/>
      <c r="O258" s="46" t="n"/>
      <c r="P258" s="45" t="n"/>
      <c r="Q258" s="45" t="n"/>
      <c r="R258" s="45" t="str">
        <f>IF(AND(A258="",B258=""),"",IF(A258="","Missing ID",IF(COUNTIF($A:$A,A258)&gt;1,"Duplicate ID",IF(B258="","Missing title",IF(C258="","Missing module",IF(J258="","Missing steps",IF(K258="","Missing expected result",IF(AND(F258=St_Failed,L258=""),"Add actual result","OK"))))))))</f>
        <v/>
      </c>
    </row>
    <row r="259" ht="32" customHeight="1">
      <c r="A259" s="44" t="n"/>
      <c r="B259" s="45" t="n"/>
      <c r="C259" s="45" t="n"/>
      <c r="D259" s="45" t="n"/>
      <c r="E259" s="44" t="n"/>
      <c r="F259" s="44" t="n"/>
      <c r="G259" s="44" t="n"/>
      <c r="H259" s="45" t="n"/>
      <c r="I259" s="45" t="n"/>
      <c r="J259" s="45" t="n"/>
      <c r="K259" s="45" t="n"/>
      <c r="L259" s="45" t="n"/>
      <c r="M259" s="45" t="n"/>
      <c r="N259" s="45" t="n"/>
      <c r="O259" s="46" t="n"/>
      <c r="P259" s="45" t="n"/>
      <c r="Q259" s="45" t="n"/>
      <c r="R259" s="45" t="str">
        <f>IF(AND(A259="",B259=""),"",IF(A259="","Missing ID",IF(COUNTIF($A:$A,A259)&gt;1,"Duplicate ID",IF(B259="","Missing title",IF(C259="","Missing module",IF(J259="","Missing steps",IF(K259="","Missing expected result",IF(AND(F259=St_Failed,L259=""),"Add actual result","OK"))))))))</f>
        <v/>
      </c>
    </row>
    <row r="260" ht="32" customHeight="1">
      <c r="A260" s="44" t="n"/>
      <c r="B260" s="45" t="n"/>
      <c r="C260" s="45" t="n"/>
      <c r="D260" s="45" t="n"/>
      <c r="E260" s="44" t="n"/>
      <c r="F260" s="44" t="n"/>
      <c r="G260" s="44" t="n"/>
      <c r="H260" s="45" t="n"/>
      <c r="I260" s="45" t="n"/>
      <c r="J260" s="45" t="n"/>
      <c r="K260" s="45" t="n"/>
      <c r="L260" s="45" t="n"/>
      <c r="M260" s="45" t="n"/>
      <c r="N260" s="45" t="n"/>
      <c r="O260" s="46" t="n"/>
      <c r="P260" s="45" t="n"/>
      <c r="Q260" s="45" t="n"/>
      <c r="R260" s="45" t="str">
        <f>IF(AND(A260="",B260=""),"",IF(A260="","Missing ID",IF(COUNTIF($A:$A,A260)&gt;1,"Duplicate ID",IF(B260="","Missing title",IF(C260="","Missing module",IF(J260="","Missing steps",IF(K260="","Missing expected result",IF(AND(F260=St_Failed,L260=""),"Add actual result","OK"))))))))</f>
        <v/>
      </c>
    </row>
    <row r="261" ht="32" customHeight="1">
      <c r="A261" s="44" t="n"/>
      <c r="B261" s="45" t="n"/>
      <c r="C261" s="45" t="n"/>
      <c r="D261" s="45" t="n"/>
      <c r="E261" s="44" t="n"/>
      <c r="F261" s="44" t="n"/>
      <c r="G261" s="44" t="n"/>
      <c r="H261" s="45" t="n"/>
      <c r="I261" s="45" t="n"/>
      <c r="J261" s="45" t="n"/>
      <c r="K261" s="45" t="n"/>
      <c r="L261" s="45" t="n"/>
      <c r="M261" s="45" t="n"/>
      <c r="N261" s="45" t="n"/>
      <c r="O261" s="46" t="n"/>
      <c r="P261" s="45" t="n"/>
      <c r="Q261" s="45" t="n"/>
      <c r="R261" s="45" t="str">
        <f>IF(AND(A261="",B261=""),"",IF(A261="","Missing ID",IF(COUNTIF($A:$A,A261)&gt;1,"Duplicate ID",IF(B261="","Missing title",IF(C261="","Missing module",IF(J261="","Missing steps",IF(K261="","Missing expected result",IF(AND(F261=St_Failed,L261=""),"Add actual result","OK"))))))))</f>
        <v/>
      </c>
    </row>
    <row r="262" ht="32" customHeight="1">
      <c r="A262" s="44" t="n"/>
      <c r="B262" s="45" t="n"/>
      <c r="C262" s="45" t="n"/>
      <c r="D262" s="45" t="n"/>
      <c r="E262" s="44" t="n"/>
      <c r="F262" s="44" t="n"/>
      <c r="G262" s="44" t="n"/>
      <c r="H262" s="45" t="n"/>
      <c r="I262" s="45" t="n"/>
      <c r="J262" s="45" t="n"/>
      <c r="K262" s="45" t="n"/>
      <c r="L262" s="45" t="n"/>
      <c r="M262" s="45" t="n"/>
      <c r="N262" s="45" t="n"/>
      <c r="O262" s="46" t="n"/>
      <c r="P262" s="45" t="n"/>
      <c r="Q262" s="45" t="n"/>
      <c r="R262" s="45" t="str">
        <f>IF(AND(A262="",B262=""),"",IF(A262="","Missing ID",IF(COUNTIF($A:$A,A262)&gt;1,"Duplicate ID",IF(B262="","Missing title",IF(C262="","Missing module",IF(J262="","Missing steps",IF(K262="","Missing expected result",IF(AND(F262=St_Failed,L262=""),"Add actual result","OK"))))))))</f>
        <v/>
      </c>
    </row>
    <row r="263" ht="32" customHeight="1">
      <c r="A263" s="44" t="n"/>
      <c r="B263" s="45" t="n"/>
      <c r="C263" s="45" t="n"/>
      <c r="D263" s="45" t="n"/>
      <c r="E263" s="44" t="n"/>
      <c r="F263" s="44" t="n"/>
      <c r="G263" s="44" t="n"/>
      <c r="H263" s="45" t="n"/>
      <c r="I263" s="45" t="n"/>
      <c r="J263" s="45" t="n"/>
      <c r="K263" s="45" t="n"/>
      <c r="L263" s="45" t="n"/>
      <c r="M263" s="45" t="n"/>
      <c r="N263" s="45" t="n"/>
      <c r="O263" s="46" t="n"/>
      <c r="P263" s="45" t="n"/>
      <c r="Q263" s="45" t="n"/>
      <c r="R263" s="45" t="str">
        <f>IF(AND(A263="",B263=""),"",IF(A263="","Missing ID",IF(COUNTIF($A:$A,A263)&gt;1,"Duplicate ID",IF(B263="","Missing title",IF(C263="","Missing module",IF(J263="","Missing steps",IF(K263="","Missing expected result",IF(AND(F263=St_Failed,L263=""),"Add actual result","OK"))))))))</f>
        <v/>
      </c>
    </row>
    <row r="264" ht="32" customHeight="1">
      <c r="A264" s="44" t="n"/>
      <c r="B264" s="45" t="n"/>
      <c r="C264" s="45" t="n"/>
      <c r="D264" s="45" t="n"/>
      <c r="E264" s="44" t="n"/>
      <c r="F264" s="44" t="n"/>
      <c r="G264" s="44" t="n"/>
      <c r="H264" s="45" t="n"/>
      <c r="I264" s="45" t="n"/>
      <c r="J264" s="45" t="n"/>
      <c r="K264" s="45" t="n"/>
      <c r="L264" s="45" t="n"/>
      <c r="M264" s="45" t="n"/>
      <c r="N264" s="45" t="n"/>
      <c r="O264" s="46" t="n"/>
      <c r="P264" s="45" t="n"/>
      <c r="Q264" s="45" t="n"/>
      <c r="R264" s="45" t="str">
        <f>IF(AND(A264="",B264=""),"",IF(A264="","Missing ID",IF(COUNTIF($A:$A,A264)&gt;1,"Duplicate ID",IF(B264="","Missing title",IF(C264="","Missing module",IF(J264="","Missing steps",IF(K264="","Missing expected result",IF(AND(F264=St_Failed,L264=""),"Add actual result","OK"))))))))</f>
        <v/>
      </c>
    </row>
    <row r="265" ht="32" customHeight="1">
      <c r="A265" s="44" t="n"/>
      <c r="B265" s="45" t="n"/>
      <c r="C265" s="45" t="n"/>
      <c r="D265" s="45" t="n"/>
      <c r="E265" s="44" t="n"/>
      <c r="F265" s="44" t="n"/>
      <c r="G265" s="44" t="n"/>
      <c r="H265" s="45" t="n"/>
      <c r="I265" s="45" t="n"/>
      <c r="J265" s="45" t="n"/>
      <c r="K265" s="45" t="n"/>
      <c r="L265" s="45" t="n"/>
      <c r="M265" s="45" t="n"/>
      <c r="N265" s="45" t="n"/>
      <c r="O265" s="46" t="n"/>
      <c r="P265" s="45" t="n"/>
      <c r="Q265" s="45" t="n"/>
      <c r="R265" s="45" t="str">
        <f>IF(AND(A265="",B265=""),"",IF(A265="","Missing ID",IF(COUNTIF($A:$A,A265)&gt;1,"Duplicate ID",IF(B265="","Missing title",IF(C265="","Missing module",IF(J265="","Missing steps",IF(K265="","Missing expected result",IF(AND(F265=St_Failed,L265=""),"Add actual result","OK"))))))))</f>
        <v/>
      </c>
    </row>
    <row r="266" ht="32" customHeight="1">
      <c r="A266" s="44" t="n"/>
      <c r="B266" s="45" t="n"/>
      <c r="C266" s="45" t="n"/>
      <c r="D266" s="45" t="n"/>
      <c r="E266" s="44" t="n"/>
      <c r="F266" s="44" t="n"/>
      <c r="G266" s="44" t="n"/>
      <c r="H266" s="45" t="n"/>
      <c r="I266" s="45" t="n"/>
      <c r="J266" s="45" t="n"/>
      <c r="K266" s="45" t="n"/>
      <c r="L266" s="45" t="n"/>
      <c r="M266" s="45" t="n"/>
      <c r="N266" s="45" t="n"/>
      <c r="O266" s="46" t="n"/>
      <c r="P266" s="45" t="n"/>
      <c r="Q266" s="45" t="n"/>
      <c r="R266" s="45" t="str">
        <f>IF(AND(A266="",B266=""),"",IF(A266="","Missing ID",IF(COUNTIF($A:$A,A266)&gt;1,"Duplicate ID",IF(B266="","Missing title",IF(C266="","Missing module",IF(J266="","Missing steps",IF(K266="","Missing expected result",IF(AND(F266=St_Failed,L266=""),"Add actual result","OK"))))))))</f>
        <v/>
      </c>
    </row>
    <row r="267" ht="32" customHeight="1">
      <c r="A267" s="44" t="n"/>
      <c r="B267" s="45" t="n"/>
      <c r="C267" s="45" t="n"/>
      <c r="D267" s="45" t="n"/>
      <c r="E267" s="44" t="n"/>
      <c r="F267" s="44" t="n"/>
      <c r="G267" s="44" t="n"/>
      <c r="H267" s="45" t="n"/>
      <c r="I267" s="45" t="n"/>
      <c r="J267" s="45" t="n"/>
      <c r="K267" s="45" t="n"/>
      <c r="L267" s="45" t="n"/>
      <c r="M267" s="45" t="n"/>
      <c r="N267" s="45" t="n"/>
      <c r="O267" s="46" t="n"/>
      <c r="P267" s="45" t="n"/>
      <c r="Q267" s="45" t="n"/>
      <c r="R267" s="45" t="str">
        <f>IF(AND(A267="",B267=""),"",IF(A267="","Missing ID",IF(COUNTIF($A:$A,A267)&gt;1,"Duplicate ID",IF(B267="","Missing title",IF(C267="","Missing module",IF(J267="","Missing steps",IF(K267="","Missing expected result",IF(AND(F267=St_Failed,L267=""),"Add actual result","OK"))))))))</f>
        <v/>
      </c>
    </row>
    <row r="268" ht="32" customHeight="1">
      <c r="A268" s="44" t="n"/>
      <c r="B268" s="45" t="n"/>
      <c r="C268" s="45" t="n"/>
      <c r="D268" s="45" t="n"/>
      <c r="E268" s="44" t="n"/>
      <c r="F268" s="44" t="n"/>
      <c r="G268" s="44" t="n"/>
      <c r="H268" s="45" t="n"/>
      <c r="I268" s="45" t="n"/>
      <c r="J268" s="45" t="n"/>
      <c r="K268" s="45" t="n"/>
      <c r="L268" s="45" t="n"/>
      <c r="M268" s="45" t="n"/>
      <c r="N268" s="45" t="n"/>
      <c r="O268" s="46" t="n"/>
      <c r="P268" s="45" t="n"/>
      <c r="Q268" s="45" t="n"/>
      <c r="R268" s="45" t="str">
        <f>IF(AND(A268="",B268=""),"",IF(A268="","Missing ID",IF(COUNTIF($A:$A,A268)&gt;1,"Duplicate ID",IF(B268="","Missing title",IF(C268="","Missing module",IF(J268="","Missing steps",IF(K268="","Missing expected result",IF(AND(F268=St_Failed,L268=""),"Add actual result","OK"))))))))</f>
        <v/>
      </c>
    </row>
    <row r="269" ht="32" customHeight="1">
      <c r="A269" s="44" t="n"/>
      <c r="B269" s="45" t="n"/>
      <c r="C269" s="45" t="n"/>
      <c r="D269" s="45" t="n"/>
      <c r="E269" s="44" t="n"/>
      <c r="F269" s="44" t="n"/>
      <c r="G269" s="44" t="n"/>
      <c r="H269" s="45" t="n"/>
      <c r="I269" s="45" t="n"/>
      <c r="J269" s="45" t="n"/>
      <c r="K269" s="45" t="n"/>
      <c r="L269" s="45" t="n"/>
      <c r="M269" s="45" t="n"/>
      <c r="N269" s="45" t="n"/>
      <c r="O269" s="46" t="n"/>
      <c r="P269" s="45" t="n"/>
      <c r="Q269" s="45" t="n"/>
      <c r="R269" s="45" t="str">
        <f>IF(AND(A269="",B269=""),"",IF(A269="","Missing ID",IF(COUNTIF($A:$A,A269)&gt;1,"Duplicate ID",IF(B269="","Missing title",IF(C269="","Missing module",IF(J269="","Missing steps",IF(K269="","Missing expected result",IF(AND(F269=St_Failed,L269=""),"Add actual result","OK"))))))))</f>
        <v/>
      </c>
    </row>
    <row r="270" ht="32" customHeight="1">
      <c r="A270" s="44" t="n"/>
      <c r="B270" s="45" t="n"/>
      <c r="C270" s="45" t="n"/>
      <c r="D270" s="45" t="n"/>
      <c r="E270" s="44" t="n"/>
      <c r="F270" s="44" t="n"/>
      <c r="G270" s="44" t="n"/>
      <c r="H270" s="45" t="n"/>
      <c r="I270" s="45" t="n"/>
      <c r="J270" s="45" t="n"/>
      <c r="K270" s="45" t="n"/>
      <c r="L270" s="45" t="n"/>
      <c r="M270" s="45" t="n"/>
      <c r="N270" s="45" t="n"/>
      <c r="O270" s="46" t="n"/>
      <c r="P270" s="45" t="n"/>
      <c r="Q270" s="45" t="n"/>
      <c r="R270" s="45" t="str">
        <f>IF(AND(A270="",B270=""),"",IF(A270="","Missing ID",IF(COUNTIF($A:$A,A270)&gt;1,"Duplicate ID",IF(B270="","Missing title",IF(C270="","Missing module",IF(J270="","Missing steps",IF(K270="","Missing expected result",IF(AND(F270=St_Failed,L270=""),"Add actual result","OK"))))))))</f>
        <v/>
      </c>
    </row>
    <row r="271" ht="32" customHeight="1">
      <c r="A271" s="44" t="n"/>
      <c r="B271" s="45" t="n"/>
      <c r="C271" s="45" t="n"/>
      <c r="D271" s="45" t="n"/>
      <c r="E271" s="44" t="n"/>
      <c r="F271" s="44" t="n"/>
      <c r="G271" s="44" t="n"/>
      <c r="H271" s="45" t="n"/>
      <c r="I271" s="45" t="n"/>
      <c r="J271" s="45" t="n"/>
      <c r="K271" s="45" t="n"/>
      <c r="L271" s="45" t="n"/>
      <c r="M271" s="45" t="n"/>
      <c r="N271" s="45" t="n"/>
      <c r="O271" s="46" t="n"/>
      <c r="P271" s="45" t="n"/>
      <c r="Q271" s="45" t="n"/>
      <c r="R271" s="45" t="str">
        <f>IF(AND(A271="",B271=""),"",IF(A271="","Missing ID",IF(COUNTIF($A:$A,A271)&gt;1,"Duplicate ID",IF(B271="","Missing title",IF(C271="","Missing module",IF(J271="","Missing steps",IF(K271="","Missing expected result",IF(AND(F271=St_Failed,L271=""),"Add actual result","OK"))))))))</f>
        <v/>
      </c>
    </row>
    <row r="272" ht="32" customHeight="1">
      <c r="A272" s="44" t="n"/>
      <c r="B272" s="45" t="n"/>
      <c r="C272" s="45" t="n"/>
      <c r="D272" s="45" t="n"/>
      <c r="E272" s="44" t="n"/>
      <c r="F272" s="44" t="n"/>
      <c r="G272" s="44" t="n"/>
      <c r="H272" s="45" t="n"/>
      <c r="I272" s="45" t="n"/>
      <c r="J272" s="45" t="n"/>
      <c r="K272" s="45" t="n"/>
      <c r="L272" s="45" t="n"/>
      <c r="M272" s="45" t="n"/>
      <c r="N272" s="45" t="n"/>
      <c r="O272" s="46" t="n"/>
      <c r="P272" s="45" t="n"/>
      <c r="Q272" s="45" t="n"/>
      <c r="R272" s="45" t="str">
        <f>IF(AND(A272="",B272=""),"",IF(A272="","Missing ID",IF(COUNTIF($A:$A,A272)&gt;1,"Duplicate ID",IF(B272="","Missing title",IF(C272="","Missing module",IF(J272="","Missing steps",IF(K272="","Missing expected result",IF(AND(F272=St_Failed,L272=""),"Add actual result","OK"))))))))</f>
        <v/>
      </c>
    </row>
    <row r="273" ht="32" customHeight="1">
      <c r="A273" s="44" t="n"/>
      <c r="B273" s="45" t="n"/>
      <c r="C273" s="45" t="n"/>
      <c r="D273" s="45" t="n"/>
      <c r="E273" s="44" t="n"/>
      <c r="F273" s="44" t="n"/>
      <c r="G273" s="44" t="n"/>
      <c r="H273" s="45" t="n"/>
      <c r="I273" s="45" t="n"/>
      <c r="J273" s="45" t="n"/>
      <c r="K273" s="45" t="n"/>
      <c r="L273" s="45" t="n"/>
      <c r="M273" s="45" t="n"/>
      <c r="N273" s="45" t="n"/>
      <c r="O273" s="46" t="n"/>
      <c r="P273" s="45" t="n"/>
      <c r="Q273" s="45" t="n"/>
      <c r="R273" s="45" t="str">
        <f>IF(AND(A273="",B273=""),"",IF(A273="","Missing ID",IF(COUNTIF($A:$A,A273)&gt;1,"Duplicate ID",IF(B273="","Missing title",IF(C273="","Missing module",IF(J273="","Missing steps",IF(K273="","Missing expected result",IF(AND(F273=St_Failed,L273=""),"Add actual result","OK"))))))))</f>
        <v/>
      </c>
    </row>
    <row r="274" ht="32" customHeight="1">
      <c r="A274" s="44" t="n"/>
      <c r="B274" s="45" t="n"/>
      <c r="C274" s="45" t="n"/>
      <c r="D274" s="45" t="n"/>
      <c r="E274" s="44" t="n"/>
      <c r="F274" s="44" t="n"/>
      <c r="G274" s="44" t="n"/>
      <c r="H274" s="45" t="n"/>
      <c r="I274" s="45" t="n"/>
      <c r="J274" s="45" t="n"/>
      <c r="K274" s="45" t="n"/>
      <c r="L274" s="45" t="n"/>
      <c r="M274" s="45" t="n"/>
      <c r="N274" s="45" t="n"/>
      <c r="O274" s="46" t="n"/>
      <c r="P274" s="45" t="n"/>
      <c r="Q274" s="45" t="n"/>
      <c r="R274" s="45" t="str">
        <f>IF(AND(A274="",B274=""),"",IF(A274="","Missing ID",IF(COUNTIF($A:$A,A274)&gt;1,"Duplicate ID",IF(B274="","Missing title",IF(C274="","Missing module",IF(J274="","Missing steps",IF(K274="","Missing expected result",IF(AND(F274=St_Failed,L274=""),"Add actual result","OK"))))))))</f>
        <v/>
      </c>
    </row>
    <row r="275" ht="32" customHeight="1">
      <c r="A275" s="44" t="n"/>
      <c r="B275" s="45" t="n"/>
      <c r="C275" s="45" t="n"/>
      <c r="D275" s="45" t="n"/>
      <c r="E275" s="44" t="n"/>
      <c r="F275" s="44" t="n"/>
      <c r="G275" s="44" t="n"/>
      <c r="H275" s="45" t="n"/>
      <c r="I275" s="45" t="n"/>
      <c r="J275" s="45" t="n"/>
      <c r="K275" s="45" t="n"/>
      <c r="L275" s="45" t="n"/>
      <c r="M275" s="45" t="n"/>
      <c r="N275" s="45" t="n"/>
      <c r="O275" s="46" t="n"/>
      <c r="P275" s="45" t="n"/>
      <c r="Q275" s="45" t="n"/>
      <c r="R275" s="45" t="str">
        <f>IF(AND(A275="",B275=""),"",IF(A275="","Missing ID",IF(COUNTIF($A:$A,A275)&gt;1,"Duplicate ID",IF(B275="","Missing title",IF(C275="","Missing module",IF(J275="","Missing steps",IF(K275="","Missing expected result",IF(AND(F275=St_Failed,L275=""),"Add actual result","OK"))))))))</f>
        <v/>
      </c>
    </row>
    <row r="276" ht="32" customHeight="1">
      <c r="A276" s="44" t="n"/>
      <c r="B276" s="45" t="n"/>
      <c r="C276" s="45" t="n"/>
      <c r="D276" s="45" t="n"/>
      <c r="E276" s="44" t="n"/>
      <c r="F276" s="44" t="n"/>
      <c r="G276" s="44" t="n"/>
      <c r="H276" s="45" t="n"/>
      <c r="I276" s="45" t="n"/>
      <c r="J276" s="45" t="n"/>
      <c r="K276" s="45" t="n"/>
      <c r="L276" s="45" t="n"/>
      <c r="M276" s="45" t="n"/>
      <c r="N276" s="45" t="n"/>
      <c r="O276" s="46" t="n"/>
      <c r="P276" s="45" t="n"/>
      <c r="Q276" s="45" t="n"/>
      <c r="R276" s="45" t="str">
        <f>IF(AND(A276="",B276=""),"",IF(A276="","Missing ID",IF(COUNTIF($A:$A,A276)&gt;1,"Duplicate ID",IF(B276="","Missing title",IF(C276="","Missing module",IF(J276="","Missing steps",IF(K276="","Missing expected result",IF(AND(F276=St_Failed,L276=""),"Add actual result","OK"))))))))</f>
        <v/>
      </c>
    </row>
    <row r="277" ht="32" customHeight="1">
      <c r="A277" s="44" t="n"/>
      <c r="B277" s="45" t="n"/>
      <c r="C277" s="45" t="n"/>
      <c r="D277" s="45" t="n"/>
      <c r="E277" s="44" t="n"/>
      <c r="F277" s="44" t="n"/>
      <c r="G277" s="44" t="n"/>
      <c r="H277" s="45" t="n"/>
      <c r="I277" s="45" t="n"/>
      <c r="J277" s="45" t="n"/>
      <c r="K277" s="45" t="n"/>
      <c r="L277" s="45" t="n"/>
      <c r="M277" s="45" t="n"/>
      <c r="N277" s="45" t="n"/>
      <c r="O277" s="46" t="n"/>
      <c r="P277" s="45" t="n"/>
      <c r="Q277" s="45" t="n"/>
      <c r="R277" s="45" t="str">
        <f>IF(AND(A277="",B277=""),"",IF(A277="","Missing ID",IF(COUNTIF($A:$A,A277)&gt;1,"Duplicate ID",IF(B277="","Missing title",IF(C277="","Missing module",IF(J277="","Missing steps",IF(K277="","Missing expected result",IF(AND(F277=St_Failed,L277=""),"Add actual result","OK"))))))))</f>
        <v/>
      </c>
    </row>
    <row r="278" ht="32" customHeight="1">
      <c r="A278" s="44" t="n"/>
      <c r="B278" s="45" t="n"/>
      <c r="C278" s="45" t="n"/>
      <c r="D278" s="45" t="n"/>
      <c r="E278" s="44" t="n"/>
      <c r="F278" s="44" t="n"/>
      <c r="G278" s="44" t="n"/>
      <c r="H278" s="45" t="n"/>
      <c r="I278" s="45" t="n"/>
      <c r="J278" s="45" t="n"/>
      <c r="K278" s="45" t="n"/>
      <c r="L278" s="45" t="n"/>
      <c r="M278" s="45" t="n"/>
      <c r="N278" s="45" t="n"/>
      <c r="O278" s="46" t="n"/>
      <c r="P278" s="45" t="n"/>
      <c r="Q278" s="45" t="n"/>
      <c r="R278" s="45" t="str">
        <f>IF(AND(A278="",B278=""),"",IF(A278="","Missing ID",IF(COUNTIF($A:$A,A278)&gt;1,"Duplicate ID",IF(B278="","Missing title",IF(C278="","Missing module",IF(J278="","Missing steps",IF(K278="","Missing expected result",IF(AND(F278=St_Failed,L278=""),"Add actual result","OK"))))))))</f>
        <v/>
      </c>
    </row>
    <row r="279" ht="32" customHeight="1">
      <c r="A279" s="44" t="n"/>
      <c r="B279" s="45" t="n"/>
      <c r="C279" s="45" t="n"/>
      <c r="D279" s="45" t="n"/>
      <c r="E279" s="44" t="n"/>
      <c r="F279" s="44" t="n"/>
      <c r="G279" s="44" t="n"/>
      <c r="H279" s="45" t="n"/>
      <c r="I279" s="45" t="n"/>
      <c r="J279" s="45" t="n"/>
      <c r="K279" s="45" t="n"/>
      <c r="L279" s="45" t="n"/>
      <c r="M279" s="45" t="n"/>
      <c r="N279" s="45" t="n"/>
      <c r="O279" s="46" t="n"/>
      <c r="P279" s="45" t="n"/>
      <c r="Q279" s="45" t="n"/>
      <c r="R279" s="45" t="str">
        <f>IF(AND(A279="",B279=""),"",IF(A279="","Missing ID",IF(COUNTIF($A:$A,A279)&gt;1,"Duplicate ID",IF(B279="","Missing title",IF(C279="","Missing module",IF(J279="","Missing steps",IF(K279="","Missing expected result",IF(AND(F279=St_Failed,L279=""),"Add actual result","OK"))))))))</f>
        <v/>
      </c>
    </row>
    <row r="280" ht="32" customHeight="1">
      <c r="A280" s="44" t="n"/>
      <c r="B280" s="45" t="n"/>
      <c r="C280" s="45" t="n"/>
      <c r="D280" s="45" t="n"/>
      <c r="E280" s="44" t="n"/>
      <c r="F280" s="44" t="n"/>
      <c r="G280" s="44" t="n"/>
      <c r="H280" s="45" t="n"/>
      <c r="I280" s="45" t="n"/>
      <c r="J280" s="45" t="n"/>
      <c r="K280" s="45" t="n"/>
      <c r="L280" s="45" t="n"/>
      <c r="M280" s="45" t="n"/>
      <c r="N280" s="45" t="n"/>
      <c r="O280" s="46" t="n"/>
      <c r="P280" s="45" t="n"/>
      <c r="Q280" s="45" t="n"/>
      <c r="R280" s="45" t="str">
        <f>IF(AND(A280="",B280=""),"",IF(A280="","Missing ID",IF(COUNTIF($A:$A,A280)&gt;1,"Duplicate ID",IF(B280="","Missing title",IF(C280="","Missing module",IF(J280="","Missing steps",IF(K280="","Missing expected result",IF(AND(F280=St_Failed,L280=""),"Add actual result","OK"))))))))</f>
        <v/>
      </c>
    </row>
    <row r="281" ht="32" customHeight="1">
      <c r="A281" s="44" t="n"/>
      <c r="B281" s="45" t="n"/>
      <c r="C281" s="45" t="n"/>
      <c r="D281" s="45" t="n"/>
      <c r="E281" s="44" t="n"/>
      <c r="F281" s="44" t="n"/>
      <c r="G281" s="44" t="n"/>
      <c r="H281" s="45" t="n"/>
      <c r="I281" s="45" t="n"/>
      <c r="J281" s="45" t="n"/>
      <c r="K281" s="45" t="n"/>
      <c r="L281" s="45" t="n"/>
      <c r="M281" s="45" t="n"/>
      <c r="N281" s="45" t="n"/>
      <c r="O281" s="46" t="n"/>
      <c r="P281" s="45" t="n"/>
      <c r="Q281" s="45" t="n"/>
      <c r="R281" s="45" t="str">
        <f>IF(AND(A281="",B281=""),"",IF(A281="","Missing ID",IF(COUNTIF($A:$A,A281)&gt;1,"Duplicate ID",IF(B281="","Missing title",IF(C281="","Missing module",IF(J281="","Missing steps",IF(K281="","Missing expected result",IF(AND(F281=St_Failed,L281=""),"Add actual result","OK"))))))))</f>
        <v/>
      </c>
    </row>
    <row r="282" ht="32" customHeight="1">
      <c r="A282" s="44" t="n"/>
      <c r="B282" s="45" t="n"/>
      <c r="C282" s="45" t="n"/>
      <c r="D282" s="45" t="n"/>
      <c r="E282" s="44" t="n"/>
      <c r="F282" s="44" t="n"/>
      <c r="G282" s="44" t="n"/>
      <c r="H282" s="45" t="n"/>
      <c r="I282" s="45" t="n"/>
      <c r="J282" s="45" t="n"/>
      <c r="K282" s="45" t="n"/>
      <c r="L282" s="45" t="n"/>
      <c r="M282" s="45" t="n"/>
      <c r="N282" s="45" t="n"/>
      <c r="O282" s="46" t="n"/>
      <c r="P282" s="45" t="n"/>
      <c r="Q282" s="45" t="n"/>
      <c r="R282" s="45" t="str">
        <f>IF(AND(A282="",B282=""),"",IF(A282="","Missing ID",IF(COUNTIF($A:$A,A282)&gt;1,"Duplicate ID",IF(B282="","Missing title",IF(C282="","Missing module",IF(J282="","Missing steps",IF(K282="","Missing expected result",IF(AND(F282=St_Failed,L282=""),"Add actual result","OK"))))))))</f>
        <v/>
      </c>
    </row>
    <row r="283" ht="32" customHeight="1">
      <c r="A283" s="44" t="n"/>
      <c r="B283" s="45" t="n"/>
      <c r="C283" s="45" t="n"/>
      <c r="D283" s="45" t="n"/>
      <c r="E283" s="44" t="n"/>
      <c r="F283" s="44" t="n"/>
      <c r="G283" s="44" t="n"/>
      <c r="H283" s="45" t="n"/>
      <c r="I283" s="45" t="n"/>
      <c r="J283" s="45" t="n"/>
      <c r="K283" s="45" t="n"/>
      <c r="L283" s="45" t="n"/>
      <c r="M283" s="45" t="n"/>
      <c r="N283" s="45" t="n"/>
      <c r="O283" s="46" t="n"/>
      <c r="P283" s="45" t="n"/>
      <c r="Q283" s="45" t="n"/>
      <c r="R283" s="45" t="str">
        <f>IF(AND(A283="",B283=""),"",IF(A283="","Missing ID",IF(COUNTIF($A:$A,A283)&gt;1,"Duplicate ID",IF(B283="","Missing title",IF(C283="","Missing module",IF(J283="","Missing steps",IF(K283="","Missing expected result",IF(AND(F283=St_Failed,L283=""),"Add actual result","OK"))))))))</f>
        <v/>
      </c>
    </row>
    <row r="284" ht="32" customHeight="1">
      <c r="A284" s="44" t="n"/>
      <c r="B284" s="45" t="n"/>
      <c r="C284" s="45" t="n"/>
      <c r="D284" s="45" t="n"/>
      <c r="E284" s="44" t="n"/>
      <c r="F284" s="44" t="n"/>
      <c r="G284" s="44" t="n"/>
      <c r="H284" s="45" t="n"/>
      <c r="I284" s="45" t="n"/>
      <c r="J284" s="45" t="n"/>
      <c r="K284" s="45" t="n"/>
      <c r="L284" s="45" t="n"/>
      <c r="M284" s="45" t="n"/>
      <c r="N284" s="45" t="n"/>
      <c r="O284" s="46" t="n"/>
      <c r="P284" s="45" t="n"/>
      <c r="Q284" s="45" t="n"/>
      <c r="R284" s="45" t="str">
        <f>IF(AND(A284="",B284=""),"",IF(A284="","Missing ID",IF(COUNTIF($A:$A,A284)&gt;1,"Duplicate ID",IF(B284="","Missing title",IF(C284="","Missing module",IF(J284="","Missing steps",IF(K284="","Missing expected result",IF(AND(F284=St_Failed,L284=""),"Add actual result","OK"))))))))</f>
        <v/>
      </c>
    </row>
    <row r="285" ht="32" customHeight="1">
      <c r="A285" s="44" t="n"/>
      <c r="B285" s="45" t="n"/>
      <c r="C285" s="45" t="n"/>
      <c r="D285" s="45" t="n"/>
      <c r="E285" s="44" t="n"/>
      <c r="F285" s="44" t="n"/>
      <c r="G285" s="44" t="n"/>
      <c r="H285" s="45" t="n"/>
      <c r="I285" s="45" t="n"/>
      <c r="J285" s="45" t="n"/>
      <c r="K285" s="45" t="n"/>
      <c r="L285" s="45" t="n"/>
      <c r="M285" s="45" t="n"/>
      <c r="N285" s="45" t="n"/>
      <c r="O285" s="46" t="n"/>
      <c r="P285" s="45" t="n"/>
      <c r="Q285" s="45" t="n"/>
      <c r="R285" s="45" t="str">
        <f>IF(AND(A285="",B285=""),"",IF(A285="","Missing ID",IF(COUNTIF($A:$A,A285)&gt;1,"Duplicate ID",IF(B285="","Missing title",IF(C285="","Missing module",IF(J285="","Missing steps",IF(K285="","Missing expected result",IF(AND(F285=St_Failed,L285=""),"Add actual result","OK"))))))))</f>
        <v/>
      </c>
    </row>
    <row r="286" ht="32" customHeight="1">
      <c r="A286" s="44" t="n"/>
      <c r="B286" s="45" t="n"/>
      <c r="C286" s="45" t="n"/>
      <c r="D286" s="45" t="n"/>
      <c r="E286" s="44" t="n"/>
      <c r="F286" s="44" t="n"/>
      <c r="G286" s="44" t="n"/>
      <c r="H286" s="45" t="n"/>
      <c r="I286" s="45" t="n"/>
      <c r="J286" s="45" t="n"/>
      <c r="K286" s="45" t="n"/>
      <c r="L286" s="45" t="n"/>
      <c r="M286" s="45" t="n"/>
      <c r="N286" s="45" t="n"/>
      <c r="O286" s="46" t="n"/>
      <c r="P286" s="45" t="n"/>
      <c r="Q286" s="45" t="n"/>
      <c r="R286" s="45" t="str">
        <f>IF(AND(A286="",B286=""),"",IF(A286="","Missing ID",IF(COUNTIF($A:$A,A286)&gt;1,"Duplicate ID",IF(B286="","Missing title",IF(C286="","Missing module",IF(J286="","Missing steps",IF(K286="","Missing expected result",IF(AND(F286=St_Failed,L286=""),"Add actual result","OK"))))))))</f>
        <v/>
      </c>
    </row>
    <row r="287" ht="32" customHeight="1">
      <c r="A287" s="44" t="n"/>
      <c r="B287" s="45" t="n"/>
      <c r="C287" s="45" t="n"/>
      <c r="D287" s="45" t="n"/>
      <c r="E287" s="44" t="n"/>
      <c r="F287" s="44" t="n"/>
      <c r="G287" s="44" t="n"/>
      <c r="H287" s="45" t="n"/>
      <c r="I287" s="45" t="n"/>
      <c r="J287" s="45" t="n"/>
      <c r="K287" s="45" t="n"/>
      <c r="L287" s="45" t="n"/>
      <c r="M287" s="45" t="n"/>
      <c r="N287" s="45" t="n"/>
      <c r="O287" s="46" t="n"/>
      <c r="P287" s="45" t="n"/>
      <c r="Q287" s="45" t="n"/>
      <c r="R287" s="45" t="str">
        <f>IF(AND(A287="",B287=""),"",IF(A287="","Missing ID",IF(COUNTIF($A:$A,A287)&gt;1,"Duplicate ID",IF(B287="","Missing title",IF(C287="","Missing module",IF(J287="","Missing steps",IF(K287="","Missing expected result",IF(AND(F287=St_Failed,L287=""),"Add actual result","OK"))))))))</f>
        <v/>
      </c>
    </row>
    <row r="288" ht="32" customHeight="1">
      <c r="A288" s="44" t="n"/>
      <c r="B288" s="45" t="n"/>
      <c r="C288" s="45" t="n"/>
      <c r="D288" s="45" t="n"/>
      <c r="E288" s="44" t="n"/>
      <c r="F288" s="44" t="n"/>
      <c r="G288" s="44" t="n"/>
      <c r="H288" s="45" t="n"/>
      <c r="I288" s="45" t="n"/>
      <c r="J288" s="45" t="n"/>
      <c r="K288" s="45" t="n"/>
      <c r="L288" s="45" t="n"/>
      <c r="M288" s="45" t="n"/>
      <c r="N288" s="45" t="n"/>
      <c r="O288" s="46" t="n"/>
      <c r="P288" s="45" t="n"/>
      <c r="Q288" s="45" t="n"/>
      <c r="R288" s="45" t="str">
        <f>IF(AND(A288="",B288=""),"",IF(A288="","Missing ID",IF(COUNTIF($A:$A,A288)&gt;1,"Duplicate ID",IF(B288="","Missing title",IF(C288="","Missing module",IF(J288="","Missing steps",IF(K288="","Missing expected result",IF(AND(F288=St_Failed,L288=""),"Add actual result","OK"))))))))</f>
        <v/>
      </c>
    </row>
    <row r="289" ht="32" customHeight="1">
      <c r="A289" s="44" t="n"/>
      <c r="B289" s="45" t="n"/>
      <c r="C289" s="45" t="n"/>
      <c r="D289" s="45" t="n"/>
      <c r="E289" s="44" t="n"/>
      <c r="F289" s="44" t="n"/>
      <c r="G289" s="44" t="n"/>
      <c r="H289" s="45" t="n"/>
      <c r="I289" s="45" t="n"/>
      <c r="J289" s="45" t="n"/>
      <c r="K289" s="45" t="n"/>
      <c r="L289" s="45" t="n"/>
      <c r="M289" s="45" t="n"/>
      <c r="N289" s="45" t="n"/>
      <c r="O289" s="46" t="n"/>
      <c r="P289" s="45" t="n"/>
      <c r="Q289" s="45" t="n"/>
      <c r="R289" s="45" t="str">
        <f>IF(AND(A289="",B289=""),"",IF(A289="","Missing ID",IF(COUNTIF($A:$A,A289)&gt;1,"Duplicate ID",IF(B289="","Missing title",IF(C289="","Missing module",IF(J289="","Missing steps",IF(K289="","Missing expected result",IF(AND(F289=St_Failed,L289=""),"Add actual result","OK"))))))))</f>
        <v/>
      </c>
    </row>
    <row r="290" ht="32" customHeight="1">
      <c r="A290" s="44" t="n"/>
      <c r="B290" s="45" t="n"/>
      <c r="C290" s="45" t="n"/>
      <c r="D290" s="45" t="n"/>
      <c r="E290" s="44" t="n"/>
      <c r="F290" s="44" t="n"/>
      <c r="G290" s="44" t="n"/>
      <c r="H290" s="45" t="n"/>
      <c r="I290" s="45" t="n"/>
      <c r="J290" s="45" t="n"/>
      <c r="K290" s="45" t="n"/>
      <c r="L290" s="45" t="n"/>
      <c r="M290" s="45" t="n"/>
      <c r="N290" s="45" t="n"/>
      <c r="O290" s="46" t="n"/>
      <c r="P290" s="45" t="n"/>
      <c r="Q290" s="45" t="n"/>
      <c r="R290" s="45" t="str">
        <f>IF(AND(A290="",B290=""),"",IF(A290="","Missing ID",IF(COUNTIF($A:$A,A290)&gt;1,"Duplicate ID",IF(B290="","Missing title",IF(C290="","Missing module",IF(J290="","Missing steps",IF(K290="","Missing expected result",IF(AND(F290=St_Failed,L290=""),"Add actual result","OK"))))))))</f>
        <v/>
      </c>
    </row>
    <row r="291" ht="32" customHeight="1">
      <c r="A291" s="44" t="n"/>
      <c r="B291" s="45" t="n"/>
      <c r="C291" s="45" t="n"/>
      <c r="D291" s="45" t="n"/>
      <c r="E291" s="44" t="n"/>
      <c r="F291" s="44" t="n"/>
      <c r="G291" s="44" t="n"/>
      <c r="H291" s="45" t="n"/>
      <c r="I291" s="45" t="n"/>
      <c r="J291" s="45" t="n"/>
      <c r="K291" s="45" t="n"/>
      <c r="L291" s="45" t="n"/>
      <c r="M291" s="45" t="n"/>
      <c r="N291" s="45" t="n"/>
      <c r="O291" s="46" t="n"/>
      <c r="P291" s="45" t="n"/>
      <c r="Q291" s="45" t="n"/>
      <c r="R291" s="45" t="str">
        <f>IF(AND(A291="",B291=""),"",IF(A291="","Missing ID",IF(COUNTIF($A:$A,A291)&gt;1,"Duplicate ID",IF(B291="","Missing title",IF(C291="","Missing module",IF(J291="","Missing steps",IF(K291="","Missing expected result",IF(AND(F291=St_Failed,L291=""),"Add actual result","OK"))))))))</f>
        <v/>
      </c>
    </row>
    <row r="292" ht="32" customHeight="1">
      <c r="A292" s="44" t="n"/>
      <c r="B292" s="45" t="n"/>
      <c r="C292" s="45" t="n"/>
      <c r="D292" s="45" t="n"/>
      <c r="E292" s="44" t="n"/>
      <c r="F292" s="44" t="n"/>
      <c r="G292" s="44" t="n"/>
      <c r="H292" s="45" t="n"/>
      <c r="I292" s="45" t="n"/>
      <c r="J292" s="45" t="n"/>
      <c r="K292" s="45" t="n"/>
      <c r="L292" s="45" t="n"/>
      <c r="M292" s="45" t="n"/>
      <c r="N292" s="45" t="n"/>
      <c r="O292" s="46" t="n"/>
      <c r="P292" s="45" t="n"/>
      <c r="Q292" s="45" t="n"/>
      <c r="R292" s="45" t="str">
        <f>IF(AND(A292="",B292=""),"",IF(A292="","Missing ID",IF(COUNTIF($A:$A,A292)&gt;1,"Duplicate ID",IF(B292="","Missing title",IF(C292="","Missing module",IF(J292="","Missing steps",IF(K292="","Missing expected result",IF(AND(F292=St_Failed,L292=""),"Add actual result","OK"))))))))</f>
        <v/>
      </c>
    </row>
    <row r="293" ht="32" customHeight="1">
      <c r="A293" s="44" t="n"/>
      <c r="B293" s="45" t="n"/>
      <c r="C293" s="45" t="n"/>
      <c r="D293" s="45" t="n"/>
      <c r="E293" s="44" t="n"/>
      <c r="F293" s="44" t="n"/>
      <c r="G293" s="44" t="n"/>
      <c r="H293" s="45" t="n"/>
      <c r="I293" s="45" t="n"/>
      <c r="J293" s="45" t="n"/>
      <c r="K293" s="45" t="n"/>
      <c r="L293" s="45" t="n"/>
      <c r="M293" s="45" t="n"/>
      <c r="N293" s="45" t="n"/>
      <c r="O293" s="46" t="n"/>
      <c r="P293" s="45" t="n"/>
      <c r="Q293" s="45" t="n"/>
      <c r="R293" s="45" t="str">
        <f>IF(AND(A293="",B293=""),"",IF(A293="","Missing ID",IF(COUNTIF($A:$A,A293)&gt;1,"Duplicate ID",IF(B293="","Missing title",IF(C293="","Missing module",IF(J293="","Missing steps",IF(K293="","Missing expected result",IF(AND(F293=St_Failed,L293=""),"Add actual result","OK"))))))))</f>
        <v/>
      </c>
    </row>
    <row r="294" ht="32" customHeight="1">
      <c r="A294" s="44" t="n"/>
      <c r="B294" s="45" t="n"/>
      <c r="C294" s="45" t="n"/>
      <c r="D294" s="45" t="n"/>
      <c r="E294" s="44" t="n"/>
      <c r="F294" s="44" t="n"/>
      <c r="G294" s="44" t="n"/>
      <c r="H294" s="45" t="n"/>
      <c r="I294" s="45" t="n"/>
      <c r="J294" s="45" t="n"/>
      <c r="K294" s="45" t="n"/>
      <c r="L294" s="45" t="n"/>
      <c r="M294" s="45" t="n"/>
      <c r="N294" s="45" t="n"/>
      <c r="O294" s="46" t="n"/>
      <c r="P294" s="45" t="n"/>
      <c r="Q294" s="45" t="n"/>
      <c r="R294" s="45" t="str">
        <f>IF(AND(A294="",B294=""),"",IF(A294="","Missing ID",IF(COUNTIF($A:$A,A294)&gt;1,"Duplicate ID",IF(B294="","Missing title",IF(C294="","Missing module",IF(J294="","Missing steps",IF(K294="","Missing expected result",IF(AND(F294=St_Failed,L294=""),"Add actual result","OK"))))))))</f>
        <v/>
      </c>
    </row>
    <row r="295" ht="32" customHeight="1">
      <c r="A295" s="44" t="n"/>
      <c r="B295" s="45" t="n"/>
      <c r="C295" s="45" t="n"/>
      <c r="D295" s="45" t="n"/>
      <c r="E295" s="44" t="n"/>
      <c r="F295" s="44" t="n"/>
      <c r="G295" s="44" t="n"/>
      <c r="H295" s="45" t="n"/>
      <c r="I295" s="45" t="n"/>
      <c r="J295" s="45" t="n"/>
      <c r="K295" s="45" t="n"/>
      <c r="L295" s="45" t="n"/>
      <c r="M295" s="45" t="n"/>
      <c r="N295" s="45" t="n"/>
      <c r="O295" s="46" t="n"/>
      <c r="P295" s="45" t="n"/>
      <c r="Q295" s="45" t="n"/>
      <c r="R295" s="45" t="str">
        <f>IF(AND(A295="",B295=""),"",IF(A295="","Missing ID",IF(COUNTIF($A:$A,A295)&gt;1,"Duplicate ID",IF(B295="","Missing title",IF(C295="","Missing module",IF(J295="","Missing steps",IF(K295="","Missing expected result",IF(AND(F295=St_Failed,L295=""),"Add actual result","OK"))))))))</f>
        <v/>
      </c>
    </row>
    <row r="296" ht="32" customHeight="1">
      <c r="A296" s="44" t="n"/>
      <c r="B296" s="45" t="n"/>
      <c r="C296" s="45" t="n"/>
      <c r="D296" s="45" t="n"/>
      <c r="E296" s="44" t="n"/>
      <c r="F296" s="44" t="n"/>
      <c r="G296" s="44" t="n"/>
      <c r="H296" s="45" t="n"/>
      <c r="I296" s="45" t="n"/>
      <c r="J296" s="45" t="n"/>
      <c r="K296" s="45" t="n"/>
      <c r="L296" s="45" t="n"/>
      <c r="M296" s="45" t="n"/>
      <c r="N296" s="45" t="n"/>
      <c r="O296" s="46" t="n"/>
      <c r="P296" s="45" t="n"/>
      <c r="Q296" s="45" t="n"/>
      <c r="R296" s="45" t="str">
        <f>IF(AND(A296="",B296=""),"",IF(A296="","Missing ID",IF(COUNTIF($A:$A,A296)&gt;1,"Duplicate ID",IF(B296="","Missing title",IF(C296="","Missing module",IF(J296="","Missing steps",IF(K296="","Missing expected result",IF(AND(F296=St_Failed,L296=""),"Add actual result","OK"))))))))</f>
        <v/>
      </c>
    </row>
    <row r="297" ht="32" customHeight="1">
      <c r="A297" s="44" t="n"/>
      <c r="B297" s="45" t="n"/>
      <c r="C297" s="45" t="n"/>
      <c r="D297" s="45" t="n"/>
      <c r="E297" s="44" t="n"/>
      <c r="F297" s="44" t="n"/>
      <c r="G297" s="44" t="n"/>
      <c r="H297" s="45" t="n"/>
      <c r="I297" s="45" t="n"/>
      <c r="J297" s="45" t="n"/>
      <c r="K297" s="45" t="n"/>
      <c r="L297" s="45" t="n"/>
      <c r="M297" s="45" t="n"/>
      <c r="N297" s="45" t="n"/>
      <c r="O297" s="46" t="n"/>
      <c r="P297" s="45" t="n"/>
      <c r="Q297" s="45" t="n"/>
      <c r="R297" s="45" t="str">
        <f>IF(AND(A297="",B297=""),"",IF(A297="","Missing ID",IF(COUNTIF($A:$A,A297)&gt;1,"Duplicate ID",IF(B297="","Missing title",IF(C297="","Missing module",IF(J297="","Missing steps",IF(K297="","Missing expected result",IF(AND(F297=St_Failed,L297=""),"Add actual result","OK"))))))))</f>
        <v/>
      </c>
    </row>
    <row r="298" ht="32" customHeight="1">
      <c r="A298" s="44" t="n"/>
      <c r="B298" s="45" t="n"/>
      <c r="C298" s="45" t="n"/>
      <c r="D298" s="45" t="n"/>
      <c r="E298" s="44" t="n"/>
      <c r="F298" s="44" t="n"/>
      <c r="G298" s="44" t="n"/>
      <c r="H298" s="45" t="n"/>
      <c r="I298" s="45" t="n"/>
      <c r="J298" s="45" t="n"/>
      <c r="K298" s="45" t="n"/>
      <c r="L298" s="45" t="n"/>
      <c r="M298" s="45" t="n"/>
      <c r="N298" s="45" t="n"/>
      <c r="O298" s="46" t="n"/>
      <c r="P298" s="45" t="n"/>
      <c r="Q298" s="45" t="n"/>
      <c r="R298" s="45" t="str">
        <f>IF(AND(A298="",B298=""),"",IF(A298="","Missing ID",IF(COUNTIF($A:$A,A298)&gt;1,"Duplicate ID",IF(B298="","Missing title",IF(C298="","Missing module",IF(J298="","Missing steps",IF(K298="","Missing expected result",IF(AND(F298=St_Failed,L298=""),"Add actual result","OK"))))))))</f>
        <v/>
      </c>
    </row>
    <row r="299" ht="32" customHeight="1">
      <c r="A299" s="44" t="n"/>
      <c r="B299" s="45" t="n"/>
      <c r="C299" s="45" t="n"/>
      <c r="D299" s="45" t="n"/>
      <c r="E299" s="44" t="n"/>
      <c r="F299" s="44" t="n"/>
      <c r="G299" s="44" t="n"/>
      <c r="H299" s="45" t="n"/>
      <c r="I299" s="45" t="n"/>
      <c r="J299" s="45" t="n"/>
      <c r="K299" s="45" t="n"/>
      <c r="L299" s="45" t="n"/>
      <c r="M299" s="45" t="n"/>
      <c r="N299" s="45" t="n"/>
      <c r="O299" s="46" t="n"/>
      <c r="P299" s="45" t="n"/>
      <c r="Q299" s="45" t="n"/>
      <c r="R299" s="45" t="str">
        <f>IF(AND(A299="",B299=""),"",IF(A299="","Missing ID",IF(COUNTIF($A:$A,A299)&gt;1,"Duplicate ID",IF(B299="","Missing title",IF(C299="","Missing module",IF(J299="","Missing steps",IF(K299="","Missing expected result",IF(AND(F299=St_Failed,L299=""),"Add actual result","OK"))))))))</f>
        <v/>
      </c>
    </row>
    <row r="300" ht="32" customHeight="1">
      <c r="A300" s="44" t="n"/>
      <c r="B300" s="45" t="n"/>
      <c r="C300" s="45" t="n"/>
      <c r="D300" s="45" t="n"/>
      <c r="E300" s="44" t="n"/>
      <c r="F300" s="44" t="n"/>
      <c r="G300" s="44" t="n"/>
      <c r="H300" s="45" t="n"/>
      <c r="I300" s="45" t="n"/>
      <c r="J300" s="45" t="n"/>
      <c r="K300" s="45" t="n"/>
      <c r="L300" s="45" t="n"/>
      <c r="M300" s="45" t="n"/>
      <c r="N300" s="45" t="n"/>
      <c r="O300" s="46" t="n"/>
      <c r="P300" s="45" t="n"/>
      <c r="Q300" s="45" t="n"/>
      <c r="R300" s="45" t="str">
        <f>IF(AND(A300="",B300=""),"",IF(A300="","Missing ID",IF(COUNTIF($A:$A,A300)&gt;1,"Duplicate ID",IF(B300="","Missing title",IF(C300="","Missing module",IF(J300="","Missing steps",IF(K300="","Missing expected result",IF(AND(F300=St_Failed,L300=""),"Add actual result","OK"))))))))</f>
        <v/>
      </c>
    </row>
    <row r="301" ht="32" customHeight="1">
      <c r="A301" s="44" t="n"/>
      <c r="B301" s="45" t="n"/>
      <c r="C301" s="45" t="n"/>
      <c r="D301" s="45" t="n"/>
      <c r="E301" s="44" t="n"/>
      <c r="F301" s="44" t="n"/>
      <c r="G301" s="44" t="n"/>
      <c r="H301" s="45" t="n"/>
      <c r="I301" s="45" t="n"/>
      <c r="J301" s="45" t="n"/>
      <c r="K301" s="45" t="n"/>
      <c r="L301" s="45" t="n"/>
      <c r="M301" s="45" t="n"/>
      <c r="N301" s="45" t="n"/>
      <c r="O301" s="46" t="n"/>
      <c r="P301" s="45" t="n"/>
      <c r="Q301" s="45" t="n"/>
      <c r="R301" s="45" t="str">
        <f>IF(AND(A301="",B301=""),"",IF(A301="","Missing ID",IF(COUNTIF($A:$A,A301)&gt;1,"Duplicate ID",IF(B301="","Missing title",IF(C301="","Missing module",IF(J301="","Missing steps",IF(K301="","Missing expected result",IF(AND(F301=St_Failed,L301=""),"Add actual result","OK"))))))))</f>
        <v/>
      </c>
    </row>
    <row r="302" ht="32" customHeight="1">
      <c r="A302" s="44" t="n"/>
      <c r="B302" s="45" t="n"/>
      <c r="C302" s="45" t="n"/>
      <c r="D302" s="45" t="n"/>
      <c r="E302" s="44" t="n"/>
      <c r="F302" s="44" t="n"/>
      <c r="G302" s="44" t="n"/>
      <c r="H302" s="45" t="n"/>
      <c r="I302" s="45" t="n"/>
      <c r="J302" s="45" t="n"/>
      <c r="K302" s="45" t="n"/>
      <c r="L302" s="45" t="n"/>
      <c r="M302" s="45" t="n"/>
      <c r="N302" s="45" t="n"/>
      <c r="O302" s="46" t="n"/>
      <c r="P302" s="45" t="n"/>
      <c r="Q302" s="45" t="n"/>
      <c r="R302" s="45" t="str">
        <f>IF(AND(A302="",B302=""),"",IF(A302="","Missing ID",IF(COUNTIF($A:$A,A302)&gt;1,"Duplicate ID",IF(B302="","Missing title",IF(C302="","Missing module",IF(J302="","Missing steps",IF(K302="","Missing expected result",IF(AND(F302=St_Failed,L302=""),"Add actual result","OK"))))))))</f>
        <v/>
      </c>
    </row>
    <row r="303" ht="32" customHeight="1">
      <c r="A303" s="44" t="n"/>
      <c r="B303" s="45" t="n"/>
      <c r="C303" s="45" t="n"/>
      <c r="D303" s="45" t="n"/>
      <c r="E303" s="44" t="n"/>
      <c r="F303" s="44" t="n"/>
      <c r="G303" s="44" t="n"/>
      <c r="H303" s="45" t="n"/>
      <c r="I303" s="45" t="n"/>
      <c r="J303" s="45" t="n"/>
      <c r="K303" s="45" t="n"/>
      <c r="L303" s="45" t="n"/>
      <c r="M303" s="45" t="n"/>
      <c r="N303" s="45" t="n"/>
      <c r="O303" s="46" t="n"/>
      <c r="P303" s="45" t="n"/>
      <c r="Q303" s="45" t="n"/>
      <c r="R303" s="45" t="str">
        <f>IF(AND(A303="",B303=""),"",IF(A303="","Missing ID",IF(COUNTIF($A:$A,A303)&gt;1,"Duplicate ID",IF(B303="","Missing title",IF(C303="","Missing module",IF(J303="","Missing steps",IF(K303="","Missing expected result",IF(AND(F303=St_Failed,L303=""),"Add actual result","OK"))))))))</f>
        <v/>
      </c>
    </row>
    <row r="304" ht="32" customHeight="1">
      <c r="A304" s="44" t="n"/>
      <c r="B304" s="45" t="n"/>
      <c r="C304" s="45" t="n"/>
      <c r="D304" s="45" t="n"/>
      <c r="E304" s="44" t="n"/>
      <c r="F304" s="44" t="n"/>
      <c r="G304" s="44" t="n"/>
      <c r="H304" s="45" t="n"/>
      <c r="I304" s="45" t="n"/>
      <c r="J304" s="45" t="n"/>
      <c r="K304" s="45" t="n"/>
      <c r="L304" s="45" t="n"/>
      <c r="M304" s="45" t="n"/>
      <c r="N304" s="45" t="n"/>
      <c r="O304" s="46" t="n"/>
      <c r="P304" s="45" t="n"/>
      <c r="Q304" s="45" t="n"/>
      <c r="R304" s="45" t="str">
        <f>IF(AND(A304="",B304=""),"",IF(A304="","Missing ID",IF(COUNTIF($A:$A,A304)&gt;1,"Duplicate ID",IF(B304="","Missing title",IF(C304="","Missing module",IF(J304="","Missing steps",IF(K304="","Missing expected result",IF(AND(F304=St_Failed,L304=""),"Add actual result","OK"))))))))</f>
        <v/>
      </c>
    </row>
    <row r="305" ht="32" customHeight="1">
      <c r="A305" s="44" t="n"/>
      <c r="B305" s="45" t="n"/>
      <c r="C305" s="45" t="n"/>
      <c r="D305" s="45" t="n"/>
      <c r="E305" s="44" t="n"/>
      <c r="F305" s="44" t="n"/>
      <c r="G305" s="44" t="n"/>
      <c r="H305" s="45" t="n"/>
      <c r="I305" s="45" t="n"/>
      <c r="J305" s="45" t="n"/>
      <c r="K305" s="45" t="n"/>
      <c r="L305" s="45" t="n"/>
      <c r="M305" s="45" t="n"/>
      <c r="N305" s="45" t="n"/>
      <c r="O305" s="46" t="n"/>
      <c r="P305" s="45" t="n"/>
      <c r="Q305" s="45" t="n"/>
      <c r="R305" s="45" t="str">
        <f>IF(AND(A305="",B305=""),"",IF(A305="","Missing ID",IF(COUNTIF($A:$A,A305)&gt;1,"Duplicate ID",IF(B305="","Missing title",IF(C305="","Missing module",IF(J305="","Missing steps",IF(K305="","Missing expected result",IF(AND(F305=St_Failed,L305=""),"Add actual result","OK"))))))))</f>
        <v/>
      </c>
    </row>
    <row r="306" ht="32" customHeight="1">
      <c r="A306" s="44" t="n"/>
      <c r="B306" s="45" t="n"/>
      <c r="C306" s="45" t="n"/>
      <c r="D306" s="45" t="n"/>
      <c r="E306" s="44" t="n"/>
      <c r="F306" s="44" t="n"/>
      <c r="G306" s="44" t="n"/>
      <c r="H306" s="45" t="n"/>
      <c r="I306" s="45" t="n"/>
      <c r="J306" s="45" t="n"/>
      <c r="K306" s="45" t="n"/>
      <c r="L306" s="45" t="n"/>
      <c r="M306" s="45" t="n"/>
      <c r="N306" s="45" t="n"/>
      <c r="O306" s="46" t="n"/>
      <c r="P306" s="45" t="n"/>
      <c r="Q306" s="45" t="n"/>
      <c r="R306" s="45" t="str">
        <f>IF(AND(A306="",B306=""),"",IF(A306="","Missing ID",IF(COUNTIF($A:$A,A306)&gt;1,"Duplicate ID",IF(B306="","Missing title",IF(C306="","Missing module",IF(J306="","Missing steps",IF(K306="","Missing expected result",IF(AND(F306=St_Failed,L306=""),"Add actual result","OK"))))))))</f>
        <v/>
      </c>
    </row>
    <row r="307" ht="32" customHeight="1">
      <c r="A307" s="44" t="n"/>
      <c r="B307" s="45" t="n"/>
      <c r="C307" s="45" t="n"/>
      <c r="D307" s="45" t="n"/>
      <c r="E307" s="44" t="n"/>
      <c r="F307" s="44" t="n"/>
      <c r="G307" s="44" t="n"/>
      <c r="H307" s="45" t="n"/>
      <c r="I307" s="45" t="n"/>
      <c r="J307" s="45" t="n"/>
      <c r="K307" s="45" t="n"/>
      <c r="L307" s="45" t="n"/>
      <c r="M307" s="45" t="n"/>
      <c r="N307" s="45" t="n"/>
      <c r="O307" s="46" t="n"/>
      <c r="P307" s="45" t="n"/>
      <c r="Q307" s="45" t="n"/>
      <c r="R307" s="45" t="str">
        <f>IF(AND(A307="",B307=""),"",IF(A307="","Missing ID",IF(COUNTIF($A:$A,A307)&gt;1,"Duplicate ID",IF(B307="","Missing title",IF(C307="","Missing module",IF(J307="","Missing steps",IF(K307="","Missing expected result",IF(AND(F307=St_Failed,L307=""),"Add actual result","OK"))))))))</f>
        <v/>
      </c>
    </row>
    <row r="308" ht="32" customHeight="1">
      <c r="A308" s="44" t="n"/>
      <c r="B308" s="45" t="n"/>
      <c r="C308" s="45" t="n"/>
      <c r="D308" s="45" t="n"/>
      <c r="E308" s="44" t="n"/>
      <c r="F308" s="44" t="n"/>
      <c r="G308" s="44" t="n"/>
      <c r="H308" s="45" t="n"/>
      <c r="I308" s="45" t="n"/>
      <c r="J308" s="45" t="n"/>
      <c r="K308" s="45" t="n"/>
      <c r="L308" s="45" t="n"/>
      <c r="M308" s="45" t="n"/>
      <c r="N308" s="45" t="n"/>
      <c r="O308" s="46" t="n"/>
      <c r="P308" s="45" t="n"/>
      <c r="Q308" s="45" t="n"/>
      <c r="R308" s="45" t="str">
        <f>IF(AND(A308="",B308=""),"",IF(A308="","Missing ID",IF(COUNTIF($A:$A,A308)&gt;1,"Duplicate ID",IF(B308="","Missing title",IF(C308="","Missing module",IF(J308="","Missing steps",IF(K308="","Missing expected result",IF(AND(F308=St_Failed,L308=""),"Add actual result","OK"))))))))</f>
        <v/>
      </c>
    </row>
    <row r="309" ht="32" customHeight="1">
      <c r="A309" s="44" t="n"/>
      <c r="B309" s="45" t="n"/>
      <c r="C309" s="45" t="n"/>
      <c r="D309" s="45" t="n"/>
      <c r="E309" s="44" t="n"/>
      <c r="F309" s="44" t="n"/>
      <c r="G309" s="44" t="n"/>
      <c r="H309" s="45" t="n"/>
      <c r="I309" s="45" t="n"/>
      <c r="J309" s="45" t="n"/>
      <c r="K309" s="45" t="n"/>
      <c r="L309" s="45" t="n"/>
      <c r="M309" s="45" t="n"/>
      <c r="N309" s="45" t="n"/>
      <c r="O309" s="46" t="n"/>
      <c r="P309" s="45" t="n"/>
      <c r="Q309" s="45" t="n"/>
      <c r="R309" s="45" t="str">
        <f>IF(AND(A309="",B309=""),"",IF(A309="","Missing ID",IF(COUNTIF($A:$A,A309)&gt;1,"Duplicate ID",IF(B309="","Missing title",IF(C309="","Missing module",IF(J309="","Missing steps",IF(K309="","Missing expected result",IF(AND(F309=St_Failed,L309=""),"Add actual result","OK"))))))))</f>
        <v/>
      </c>
    </row>
    <row r="310" ht="32" customHeight="1">
      <c r="A310" s="44" t="n"/>
      <c r="B310" s="45" t="n"/>
      <c r="C310" s="45" t="n"/>
      <c r="D310" s="45" t="n"/>
      <c r="E310" s="44" t="n"/>
      <c r="F310" s="44" t="n"/>
      <c r="G310" s="44" t="n"/>
      <c r="H310" s="45" t="n"/>
      <c r="I310" s="45" t="n"/>
      <c r="J310" s="45" t="n"/>
      <c r="K310" s="45" t="n"/>
      <c r="L310" s="45" t="n"/>
      <c r="M310" s="45" t="n"/>
      <c r="N310" s="45" t="n"/>
      <c r="O310" s="46" t="n"/>
      <c r="P310" s="45" t="n"/>
      <c r="Q310" s="45" t="n"/>
      <c r="R310" s="45" t="str">
        <f>IF(AND(A310="",B310=""),"",IF(A310="","Missing ID",IF(COUNTIF($A:$A,A310)&gt;1,"Duplicate ID",IF(B310="","Missing title",IF(C310="","Missing module",IF(J310="","Missing steps",IF(K310="","Missing expected result",IF(AND(F310=St_Failed,L310=""),"Add actual result","OK"))))))))</f>
        <v/>
      </c>
    </row>
    <row r="311" ht="32" customHeight="1">
      <c r="A311" s="44" t="n"/>
      <c r="B311" s="45" t="n"/>
      <c r="C311" s="45" t="n"/>
      <c r="D311" s="45" t="n"/>
      <c r="E311" s="44" t="n"/>
      <c r="F311" s="44" t="n"/>
      <c r="G311" s="44" t="n"/>
      <c r="H311" s="45" t="n"/>
      <c r="I311" s="45" t="n"/>
      <c r="J311" s="45" t="n"/>
      <c r="K311" s="45" t="n"/>
      <c r="L311" s="45" t="n"/>
      <c r="M311" s="45" t="n"/>
      <c r="N311" s="45" t="n"/>
      <c r="O311" s="46" t="n"/>
      <c r="P311" s="45" t="n"/>
      <c r="Q311" s="45" t="n"/>
      <c r="R311" s="45" t="str">
        <f>IF(AND(A311="",B311=""),"",IF(A311="","Missing ID",IF(COUNTIF($A:$A,A311)&gt;1,"Duplicate ID",IF(B311="","Missing title",IF(C311="","Missing module",IF(J311="","Missing steps",IF(K311="","Missing expected result",IF(AND(F311=St_Failed,L311=""),"Add actual result","OK"))))))))</f>
        <v/>
      </c>
    </row>
    <row r="312" ht="32" customHeight="1">
      <c r="A312" s="44" t="n"/>
      <c r="B312" s="45" t="n"/>
      <c r="C312" s="45" t="n"/>
      <c r="D312" s="45" t="n"/>
      <c r="E312" s="44" t="n"/>
      <c r="F312" s="44" t="n"/>
      <c r="G312" s="44" t="n"/>
      <c r="H312" s="45" t="n"/>
      <c r="I312" s="45" t="n"/>
      <c r="J312" s="45" t="n"/>
      <c r="K312" s="45" t="n"/>
      <c r="L312" s="45" t="n"/>
      <c r="M312" s="45" t="n"/>
      <c r="N312" s="45" t="n"/>
      <c r="O312" s="46" t="n"/>
      <c r="P312" s="45" t="n"/>
      <c r="Q312" s="45" t="n"/>
      <c r="R312" s="45" t="str">
        <f>IF(AND(A312="",B312=""),"",IF(A312="","Missing ID",IF(COUNTIF($A:$A,A312)&gt;1,"Duplicate ID",IF(B312="","Missing title",IF(C312="","Missing module",IF(J312="","Missing steps",IF(K312="","Missing expected result",IF(AND(F312=St_Failed,L312=""),"Add actual result","OK"))))))))</f>
        <v/>
      </c>
    </row>
    <row r="313" ht="32" customHeight="1">
      <c r="A313" s="44" t="n"/>
      <c r="B313" s="45" t="n"/>
      <c r="C313" s="45" t="n"/>
      <c r="D313" s="45" t="n"/>
      <c r="E313" s="44" t="n"/>
      <c r="F313" s="44" t="n"/>
      <c r="G313" s="44" t="n"/>
      <c r="H313" s="45" t="n"/>
      <c r="I313" s="45" t="n"/>
      <c r="J313" s="45" t="n"/>
      <c r="K313" s="45" t="n"/>
      <c r="L313" s="45" t="n"/>
      <c r="M313" s="45" t="n"/>
      <c r="N313" s="45" t="n"/>
      <c r="O313" s="46" t="n"/>
      <c r="P313" s="45" t="n"/>
      <c r="Q313" s="45" t="n"/>
      <c r="R313" s="45" t="str">
        <f>IF(AND(A313="",B313=""),"",IF(A313="","Missing ID",IF(COUNTIF($A:$A,A313)&gt;1,"Duplicate ID",IF(B313="","Missing title",IF(C313="","Missing module",IF(J313="","Missing steps",IF(K313="","Missing expected result",IF(AND(F313=St_Failed,L313=""),"Add actual result","OK"))))))))</f>
        <v/>
      </c>
    </row>
    <row r="314" ht="32" customHeight="1">
      <c r="A314" s="44" t="n"/>
      <c r="B314" s="45" t="n"/>
      <c r="C314" s="45" t="n"/>
      <c r="D314" s="45" t="n"/>
      <c r="E314" s="44" t="n"/>
      <c r="F314" s="44" t="n"/>
      <c r="G314" s="44" t="n"/>
      <c r="H314" s="45" t="n"/>
      <c r="I314" s="45" t="n"/>
      <c r="J314" s="45" t="n"/>
      <c r="K314" s="45" t="n"/>
      <c r="L314" s="45" t="n"/>
      <c r="M314" s="45" t="n"/>
      <c r="N314" s="45" t="n"/>
      <c r="O314" s="46" t="n"/>
      <c r="P314" s="45" t="n"/>
      <c r="Q314" s="45" t="n"/>
      <c r="R314" s="45" t="str">
        <f>IF(AND(A314="",B314=""),"",IF(A314="","Missing ID",IF(COUNTIF($A:$A,A314)&gt;1,"Duplicate ID",IF(B314="","Missing title",IF(C314="","Missing module",IF(J314="","Missing steps",IF(K314="","Missing expected result",IF(AND(F314=St_Failed,L314=""),"Add actual result","OK"))))))))</f>
        <v/>
      </c>
    </row>
    <row r="315" ht="32" customHeight="1">
      <c r="A315" s="44" t="n"/>
      <c r="B315" s="45" t="n"/>
      <c r="C315" s="45" t="n"/>
      <c r="D315" s="45" t="n"/>
      <c r="E315" s="44" t="n"/>
      <c r="F315" s="44" t="n"/>
      <c r="G315" s="44" t="n"/>
      <c r="H315" s="45" t="n"/>
      <c r="I315" s="45" t="n"/>
      <c r="J315" s="45" t="n"/>
      <c r="K315" s="45" t="n"/>
      <c r="L315" s="45" t="n"/>
      <c r="M315" s="45" t="n"/>
      <c r="N315" s="45" t="n"/>
      <c r="O315" s="46" t="n"/>
      <c r="P315" s="45" t="n"/>
      <c r="Q315" s="45" t="n"/>
      <c r="R315" s="45" t="str">
        <f>IF(AND(A315="",B315=""),"",IF(A315="","Missing ID",IF(COUNTIF($A:$A,A315)&gt;1,"Duplicate ID",IF(B315="","Missing title",IF(C315="","Missing module",IF(J315="","Missing steps",IF(K315="","Missing expected result",IF(AND(F315=St_Failed,L315=""),"Add actual result","OK"))))))))</f>
        <v/>
      </c>
    </row>
    <row r="316" ht="32" customHeight="1">
      <c r="A316" s="44" t="n"/>
      <c r="B316" s="45" t="n"/>
      <c r="C316" s="45" t="n"/>
      <c r="D316" s="45" t="n"/>
      <c r="E316" s="44" t="n"/>
      <c r="F316" s="44" t="n"/>
      <c r="G316" s="44" t="n"/>
      <c r="H316" s="45" t="n"/>
      <c r="I316" s="45" t="n"/>
      <c r="J316" s="45" t="n"/>
      <c r="K316" s="45" t="n"/>
      <c r="L316" s="45" t="n"/>
      <c r="M316" s="45" t="n"/>
      <c r="N316" s="45" t="n"/>
      <c r="O316" s="46" t="n"/>
      <c r="P316" s="45" t="n"/>
      <c r="Q316" s="45" t="n"/>
      <c r="R316" s="45" t="str">
        <f>IF(AND(A316="",B316=""),"",IF(A316="","Missing ID",IF(COUNTIF($A:$A,A316)&gt;1,"Duplicate ID",IF(B316="","Missing title",IF(C316="","Missing module",IF(J316="","Missing steps",IF(K316="","Missing expected result",IF(AND(F316=St_Failed,L316=""),"Add actual result","OK"))))))))</f>
        <v/>
      </c>
    </row>
    <row r="317" ht="32" customHeight="1">
      <c r="A317" s="44" t="n"/>
      <c r="B317" s="45" t="n"/>
      <c r="C317" s="45" t="n"/>
      <c r="D317" s="45" t="n"/>
      <c r="E317" s="44" t="n"/>
      <c r="F317" s="44" t="n"/>
      <c r="G317" s="44" t="n"/>
      <c r="H317" s="45" t="n"/>
      <c r="I317" s="45" t="n"/>
      <c r="J317" s="45" t="n"/>
      <c r="K317" s="45" t="n"/>
      <c r="L317" s="45" t="n"/>
      <c r="M317" s="45" t="n"/>
      <c r="N317" s="45" t="n"/>
      <c r="O317" s="46" t="n"/>
      <c r="P317" s="45" t="n"/>
      <c r="Q317" s="45" t="n"/>
      <c r="R317" s="45" t="str">
        <f>IF(AND(A317="",B317=""),"",IF(A317="","Missing ID",IF(COUNTIF($A:$A,A317)&gt;1,"Duplicate ID",IF(B317="","Missing title",IF(C317="","Missing module",IF(J317="","Missing steps",IF(K317="","Missing expected result",IF(AND(F317=St_Failed,L317=""),"Add actual result","OK"))))))))</f>
        <v/>
      </c>
    </row>
    <row r="318" ht="32" customHeight="1">
      <c r="A318" s="44" t="n"/>
      <c r="B318" s="45" t="n"/>
      <c r="C318" s="45" t="n"/>
      <c r="D318" s="45" t="n"/>
      <c r="E318" s="44" t="n"/>
      <c r="F318" s="44" t="n"/>
      <c r="G318" s="44" t="n"/>
      <c r="H318" s="45" t="n"/>
      <c r="I318" s="45" t="n"/>
      <c r="J318" s="45" t="n"/>
      <c r="K318" s="45" t="n"/>
      <c r="L318" s="45" t="n"/>
      <c r="M318" s="45" t="n"/>
      <c r="N318" s="45" t="n"/>
      <c r="O318" s="46" t="n"/>
      <c r="P318" s="45" t="n"/>
      <c r="Q318" s="45" t="n"/>
      <c r="R318" s="45" t="str">
        <f>IF(AND(A318="",B318=""),"",IF(A318="","Missing ID",IF(COUNTIF($A:$A,A318)&gt;1,"Duplicate ID",IF(B318="","Missing title",IF(C318="","Missing module",IF(J318="","Missing steps",IF(K318="","Missing expected result",IF(AND(F318=St_Failed,L318=""),"Add actual result","OK"))))))))</f>
        <v/>
      </c>
    </row>
    <row r="319" ht="32" customHeight="1">
      <c r="A319" s="44" t="n"/>
      <c r="B319" s="45" t="n"/>
      <c r="C319" s="45" t="n"/>
      <c r="D319" s="45" t="n"/>
      <c r="E319" s="44" t="n"/>
      <c r="F319" s="44" t="n"/>
      <c r="G319" s="44" t="n"/>
      <c r="H319" s="45" t="n"/>
      <c r="I319" s="45" t="n"/>
      <c r="J319" s="45" t="n"/>
      <c r="K319" s="45" t="n"/>
      <c r="L319" s="45" t="n"/>
      <c r="M319" s="45" t="n"/>
      <c r="N319" s="45" t="n"/>
      <c r="O319" s="46" t="n"/>
      <c r="P319" s="45" t="n"/>
      <c r="Q319" s="45" t="n"/>
      <c r="R319" s="45" t="str">
        <f>IF(AND(A319="",B319=""),"",IF(A319="","Missing ID",IF(COUNTIF($A:$A,A319)&gt;1,"Duplicate ID",IF(B319="","Missing title",IF(C319="","Missing module",IF(J319="","Missing steps",IF(K319="","Missing expected result",IF(AND(F319=St_Failed,L319=""),"Add actual result","OK"))))))))</f>
        <v/>
      </c>
    </row>
    <row r="320" ht="32" customHeight="1">
      <c r="A320" s="44" t="n"/>
      <c r="B320" s="45" t="n"/>
      <c r="C320" s="45" t="n"/>
      <c r="D320" s="45" t="n"/>
      <c r="E320" s="44" t="n"/>
      <c r="F320" s="44" t="n"/>
      <c r="G320" s="44" t="n"/>
      <c r="H320" s="45" t="n"/>
      <c r="I320" s="45" t="n"/>
      <c r="J320" s="45" t="n"/>
      <c r="K320" s="45" t="n"/>
      <c r="L320" s="45" t="n"/>
      <c r="M320" s="45" t="n"/>
      <c r="N320" s="45" t="n"/>
      <c r="O320" s="46" t="n"/>
      <c r="P320" s="45" t="n"/>
      <c r="Q320" s="45" t="n"/>
      <c r="R320" s="45" t="str">
        <f>IF(AND(A320="",B320=""),"",IF(A320="","Missing ID",IF(COUNTIF($A:$A,A320)&gt;1,"Duplicate ID",IF(B320="","Missing title",IF(C320="","Missing module",IF(J320="","Missing steps",IF(K320="","Missing expected result",IF(AND(F320=St_Failed,L320=""),"Add actual result","OK"))))))))</f>
        <v/>
      </c>
    </row>
    <row r="321" ht="32" customHeight="1">
      <c r="A321" s="44" t="n"/>
      <c r="B321" s="45" t="n"/>
      <c r="C321" s="45" t="n"/>
      <c r="D321" s="45" t="n"/>
      <c r="E321" s="44" t="n"/>
      <c r="F321" s="44" t="n"/>
      <c r="G321" s="44" t="n"/>
      <c r="H321" s="45" t="n"/>
      <c r="I321" s="45" t="n"/>
      <c r="J321" s="45" t="n"/>
      <c r="K321" s="45" t="n"/>
      <c r="L321" s="45" t="n"/>
      <c r="M321" s="45" t="n"/>
      <c r="N321" s="45" t="n"/>
      <c r="O321" s="46" t="n"/>
      <c r="P321" s="45" t="n"/>
      <c r="Q321" s="45" t="n"/>
      <c r="R321" s="45" t="str">
        <f>IF(AND(A321="",B321=""),"",IF(A321="","Missing ID",IF(COUNTIF($A:$A,A321)&gt;1,"Duplicate ID",IF(B321="","Missing title",IF(C321="","Missing module",IF(J321="","Missing steps",IF(K321="","Missing expected result",IF(AND(F321=St_Failed,L321=""),"Add actual result","OK"))))))))</f>
        <v/>
      </c>
    </row>
    <row r="322" ht="32" customHeight="1">
      <c r="A322" s="44" t="n"/>
      <c r="B322" s="45" t="n"/>
      <c r="C322" s="45" t="n"/>
      <c r="D322" s="45" t="n"/>
      <c r="E322" s="44" t="n"/>
      <c r="F322" s="44" t="n"/>
      <c r="G322" s="44" t="n"/>
      <c r="H322" s="45" t="n"/>
      <c r="I322" s="45" t="n"/>
      <c r="J322" s="45" t="n"/>
      <c r="K322" s="45" t="n"/>
      <c r="L322" s="45" t="n"/>
      <c r="M322" s="45" t="n"/>
      <c r="N322" s="45" t="n"/>
      <c r="O322" s="46" t="n"/>
      <c r="P322" s="45" t="n"/>
      <c r="Q322" s="45" t="n"/>
      <c r="R322" s="45" t="str">
        <f>IF(AND(A322="",B322=""),"",IF(A322="","Missing ID",IF(COUNTIF($A:$A,A322)&gt;1,"Duplicate ID",IF(B322="","Missing title",IF(C322="","Missing module",IF(J322="","Missing steps",IF(K322="","Missing expected result",IF(AND(F322=St_Failed,L322=""),"Add actual result","OK"))))))))</f>
        <v/>
      </c>
    </row>
    <row r="323" ht="32" customHeight="1">
      <c r="A323" s="44" t="n"/>
      <c r="B323" s="45" t="n"/>
      <c r="C323" s="45" t="n"/>
      <c r="D323" s="45" t="n"/>
      <c r="E323" s="44" t="n"/>
      <c r="F323" s="44" t="n"/>
      <c r="G323" s="44" t="n"/>
      <c r="H323" s="45" t="n"/>
      <c r="I323" s="45" t="n"/>
      <c r="J323" s="45" t="n"/>
      <c r="K323" s="45" t="n"/>
      <c r="L323" s="45" t="n"/>
      <c r="M323" s="45" t="n"/>
      <c r="N323" s="45" t="n"/>
      <c r="O323" s="46" t="n"/>
      <c r="P323" s="45" t="n"/>
      <c r="Q323" s="45" t="n"/>
      <c r="R323" s="45" t="str">
        <f>IF(AND(A323="",B323=""),"",IF(A323="","Missing ID",IF(COUNTIF($A:$A,A323)&gt;1,"Duplicate ID",IF(B323="","Missing title",IF(C323="","Missing module",IF(J323="","Missing steps",IF(K323="","Missing expected result",IF(AND(F323=St_Failed,L323=""),"Add actual result","OK"))))))))</f>
        <v/>
      </c>
    </row>
    <row r="324" ht="32" customHeight="1">
      <c r="A324" s="44" t="n"/>
      <c r="B324" s="45" t="n"/>
      <c r="C324" s="45" t="n"/>
      <c r="D324" s="45" t="n"/>
      <c r="E324" s="44" t="n"/>
      <c r="F324" s="44" t="n"/>
      <c r="G324" s="44" t="n"/>
      <c r="H324" s="45" t="n"/>
      <c r="I324" s="45" t="n"/>
      <c r="J324" s="45" t="n"/>
      <c r="K324" s="45" t="n"/>
      <c r="L324" s="45" t="n"/>
      <c r="M324" s="45" t="n"/>
      <c r="N324" s="45" t="n"/>
      <c r="O324" s="46" t="n"/>
      <c r="P324" s="45" t="n"/>
      <c r="Q324" s="45" t="n"/>
      <c r="R324" s="45" t="str">
        <f>IF(AND(A324="",B324=""),"",IF(A324="","Missing ID",IF(COUNTIF($A:$A,A324)&gt;1,"Duplicate ID",IF(B324="","Missing title",IF(C324="","Missing module",IF(J324="","Missing steps",IF(K324="","Missing expected result",IF(AND(F324=St_Failed,L324=""),"Add actual result","OK"))))))))</f>
        <v/>
      </c>
    </row>
    <row r="325" ht="32" customHeight="1">
      <c r="A325" s="44" t="n"/>
      <c r="B325" s="45" t="n"/>
      <c r="C325" s="45" t="n"/>
      <c r="D325" s="45" t="n"/>
      <c r="E325" s="44" t="n"/>
      <c r="F325" s="44" t="n"/>
      <c r="G325" s="44" t="n"/>
      <c r="H325" s="45" t="n"/>
      <c r="I325" s="45" t="n"/>
      <c r="J325" s="45" t="n"/>
      <c r="K325" s="45" t="n"/>
      <c r="L325" s="45" t="n"/>
      <c r="M325" s="45" t="n"/>
      <c r="N325" s="45" t="n"/>
      <c r="O325" s="46" t="n"/>
      <c r="P325" s="45" t="n"/>
      <c r="Q325" s="45" t="n"/>
      <c r="R325" s="45" t="str">
        <f>IF(AND(A325="",B325=""),"",IF(A325="","Missing ID",IF(COUNTIF($A:$A,A325)&gt;1,"Duplicate ID",IF(B325="","Missing title",IF(C325="","Missing module",IF(J325="","Missing steps",IF(K325="","Missing expected result",IF(AND(F325=St_Failed,L325=""),"Add actual result","OK"))))))))</f>
        <v/>
      </c>
    </row>
    <row r="326" ht="32" customHeight="1">
      <c r="A326" s="44" t="n"/>
      <c r="B326" s="45" t="n"/>
      <c r="C326" s="45" t="n"/>
      <c r="D326" s="45" t="n"/>
      <c r="E326" s="44" t="n"/>
      <c r="F326" s="44" t="n"/>
      <c r="G326" s="44" t="n"/>
      <c r="H326" s="45" t="n"/>
      <c r="I326" s="45" t="n"/>
      <c r="J326" s="45" t="n"/>
      <c r="K326" s="45" t="n"/>
      <c r="L326" s="45" t="n"/>
      <c r="M326" s="45" t="n"/>
      <c r="N326" s="45" t="n"/>
      <c r="O326" s="46" t="n"/>
      <c r="P326" s="45" t="n"/>
      <c r="Q326" s="45" t="n"/>
      <c r="R326" s="45" t="str">
        <f>IF(AND(A326="",B326=""),"",IF(A326="","Missing ID",IF(COUNTIF($A:$A,A326)&gt;1,"Duplicate ID",IF(B326="","Missing title",IF(C326="","Missing module",IF(J326="","Missing steps",IF(K326="","Missing expected result",IF(AND(F326=St_Failed,L326=""),"Add actual result","OK"))))))))</f>
        <v/>
      </c>
    </row>
    <row r="327" ht="32" customHeight="1">
      <c r="A327" s="44" t="n"/>
      <c r="B327" s="45" t="n"/>
      <c r="C327" s="45" t="n"/>
      <c r="D327" s="45" t="n"/>
      <c r="E327" s="44" t="n"/>
      <c r="F327" s="44" t="n"/>
      <c r="G327" s="44" t="n"/>
      <c r="H327" s="45" t="n"/>
      <c r="I327" s="45" t="n"/>
      <c r="J327" s="45" t="n"/>
      <c r="K327" s="45" t="n"/>
      <c r="L327" s="45" t="n"/>
      <c r="M327" s="45" t="n"/>
      <c r="N327" s="45" t="n"/>
      <c r="O327" s="46" t="n"/>
      <c r="P327" s="45" t="n"/>
      <c r="Q327" s="45" t="n"/>
      <c r="R327" s="45" t="str">
        <f>IF(AND(A327="",B327=""),"",IF(A327="","Missing ID",IF(COUNTIF($A:$A,A327)&gt;1,"Duplicate ID",IF(B327="","Missing title",IF(C327="","Missing module",IF(J327="","Missing steps",IF(K327="","Missing expected result",IF(AND(F327=St_Failed,L327=""),"Add actual result","OK"))))))))</f>
        <v/>
      </c>
    </row>
    <row r="328" ht="32" customHeight="1">
      <c r="A328" s="44" t="n"/>
      <c r="B328" s="45" t="n"/>
      <c r="C328" s="45" t="n"/>
      <c r="D328" s="45" t="n"/>
      <c r="E328" s="44" t="n"/>
      <c r="F328" s="44" t="n"/>
      <c r="G328" s="44" t="n"/>
      <c r="H328" s="45" t="n"/>
      <c r="I328" s="45" t="n"/>
      <c r="J328" s="45" t="n"/>
      <c r="K328" s="45" t="n"/>
      <c r="L328" s="45" t="n"/>
      <c r="M328" s="45" t="n"/>
      <c r="N328" s="45" t="n"/>
      <c r="O328" s="46" t="n"/>
      <c r="P328" s="45" t="n"/>
      <c r="Q328" s="45" t="n"/>
      <c r="R328" s="45" t="str">
        <f>IF(AND(A328="",B328=""),"",IF(A328="","Missing ID",IF(COUNTIF($A:$A,A328)&gt;1,"Duplicate ID",IF(B328="","Missing title",IF(C328="","Missing module",IF(J328="","Missing steps",IF(K328="","Missing expected result",IF(AND(F328=St_Failed,L328=""),"Add actual result","OK"))))))))</f>
        <v/>
      </c>
    </row>
    <row r="329" ht="32" customHeight="1">
      <c r="A329" s="44" t="n"/>
      <c r="B329" s="45" t="n"/>
      <c r="C329" s="45" t="n"/>
      <c r="D329" s="45" t="n"/>
      <c r="E329" s="44" t="n"/>
      <c r="F329" s="44" t="n"/>
      <c r="G329" s="44" t="n"/>
      <c r="H329" s="45" t="n"/>
      <c r="I329" s="45" t="n"/>
      <c r="J329" s="45" t="n"/>
      <c r="K329" s="45" t="n"/>
      <c r="L329" s="45" t="n"/>
      <c r="M329" s="45" t="n"/>
      <c r="N329" s="45" t="n"/>
      <c r="O329" s="46" t="n"/>
      <c r="P329" s="45" t="n"/>
      <c r="Q329" s="45" t="n"/>
      <c r="R329" s="45" t="str">
        <f>IF(AND(A329="",B329=""),"",IF(A329="","Missing ID",IF(COUNTIF($A:$A,A329)&gt;1,"Duplicate ID",IF(B329="","Missing title",IF(C329="","Missing module",IF(J329="","Missing steps",IF(K329="","Missing expected result",IF(AND(F329=St_Failed,L329=""),"Add actual result","OK"))))))))</f>
        <v/>
      </c>
    </row>
    <row r="330" ht="32" customHeight="1">
      <c r="A330" s="44" t="n"/>
      <c r="B330" s="45" t="n"/>
      <c r="C330" s="45" t="n"/>
      <c r="D330" s="45" t="n"/>
      <c r="E330" s="44" t="n"/>
      <c r="F330" s="44" t="n"/>
      <c r="G330" s="44" t="n"/>
      <c r="H330" s="45" t="n"/>
      <c r="I330" s="45" t="n"/>
      <c r="J330" s="45" t="n"/>
      <c r="K330" s="45" t="n"/>
      <c r="L330" s="45" t="n"/>
      <c r="M330" s="45" t="n"/>
      <c r="N330" s="45" t="n"/>
      <c r="O330" s="46" t="n"/>
      <c r="P330" s="45" t="n"/>
      <c r="Q330" s="45" t="n"/>
      <c r="R330" s="45" t="str">
        <f>IF(AND(A330="",B330=""),"",IF(A330="","Missing ID",IF(COUNTIF($A:$A,A330)&gt;1,"Duplicate ID",IF(B330="","Missing title",IF(C330="","Missing module",IF(J330="","Missing steps",IF(K330="","Missing expected result",IF(AND(F330=St_Failed,L330=""),"Add actual result","OK"))))))))</f>
        <v/>
      </c>
    </row>
    <row r="331" ht="32" customHeight="1">
      <c r="A331" s="44" t="n"/>
      <c r="B331" s="45" t="n"/>
      <c r="C331" s="45" t="n"/>
      <c r="D331" s="45" t="n"/>
      <c r="E331" s="44" t="n"/>
      <c r="F331" s="44" t="n"/>
      <c r="G331" s="44" t="n"/>
      <c r="H331" s="45" t="n"/>
      <c r="I331" s="45" t="n"/>
      <c r="J331" s="45" t="n"/>
      <c r="K331" s="45" t="n"/>
      <c r="L331" s="45" t="n"/>
      <c r="M331" s="45" t="n"/>
      <c r="N331" s="45" t="n"/>
      <c r="O331" s="46" t="n"/>
      <c r="P331" s="45" t="n"/>
      <c r="Q331" s="45" t="n"/>
      <c r="R331" s="45" t="str">
        <f>IF(AND(A331="",B331=""),"",IF(A331="","Missing ID",IF(COUNTIF($A:$A,A331)&gt;1,"Duplicate ID",IF(B331="","Missing title",IF(C331="","Missing module",IF(J331="","Missing steps",IF(K331="","Missing expected result",IF(AND(F331=St_Failed,L331=""),"Add actual result","OK"))))))))</f>
        <v/>
      </c>
    </row>
    <row r="332" ht="32" customHeight="1">
      <c r="A332" s="44" t="n"/>
      <c r="B332" s="45" t="n"/>
      <c r="C332" s="45" t="n"/>
      <c r="D332" s="45" t="n"/>
      <c r="E332" s="44" t="n"/>
      <c r="F332" s="44" t="n"/>
      <c r="G332" s="44" t="n"/>
      <c r="H332" s="45" t="n"/>
      <c r="I332" s="45" t="n"/>
      <c r="J332" s="45" t="n"/>
      <c r="K332" s="45" t="n"/>
      <c r="L332" s="45" t="n"/>
      <c r="M332" s="45" t="n"/>
      <c r="N332" s="45" t="n"/>
      <c r="O332" s="46" t="n"/>
      <c r="P332" s="45" t="n"/>
      <c r="Q332" s="45" t="n"/>
      <c r="R332" s="45" t="str">
        <f>IF(AND(A332="",B332=""),"",IF(A332="","Missing ID",IF(COUNTIF($A:$A,A332)&gt;1,"Duplicate ID",IF(B332="","Missing title",IF(C332="","Missing module",IF(J332="","Missing steps",IF(K332="","Missing expected result",IF(AND(F332=St_Failed,L332=""),"Add actual result","OK"))))))))</f>
        <v/>
      </c>
    </row>
    <row r="333" ht="32" customHeight="1">
      <c r="A333" s="44" t="n"/>
      <c r="B333" s="45" t="n"/>
      <c r="C333" s="45" t="n"/>
      <c r="D333" s="45" t="n"/>
      <c r="E333" s="44" t="n"/>
      <c r="F333" s="44" t="n"/>
      <c r="G333" s="44" t="n"/>
      <c r="H333" s="45" t="n"/>
      <c r="I333" s="45" t="n"/>
      <c r="J333" s="45" t="n"/>
      <c r="K333" s="45" t="n"/>
      <c r="L333" s="45" t="n"/>
      <c r="M333" s="45" t="n"/>
      <c r="N333" s="45" t="n"/>
      <c r="O333" s="46" t="n"/>
      <c r="P333" s="45" t="n"/>
      <c r="Q333" s="45" t="n"/>
      <c r="R333" s="45" t="str">
        <f>IF(AND(A333="",B333=""),"",IF(A333="","Missing ID",IF(COUNTIF($A:$A,A333)&gt;1,"Duplicate ID",IF(B333="","Missing title",IF(C333="","Missing module",IF(J333="","Missing steps",IF(K333="","Missing expected result",IF(AND(F333=St_Failed,L333=""),"Add actual result","OK"))))))))</f>
        <v/>
      </c>
    </row>
    <row r="334" ht="32" customHeight="1">
      <c r="A334" s="44" t="n"/>
      <c r="B334" s="45" t="n"/>
      <c r="C334" s="45" t="n"/>
      <c r="D334" s="45" t="n"/>
      <c r="E334" s="44" t="n"/>
      <c r="F334" s="44" t="n"/>
      <c r="G334" s="44" t="n"/>
      <c r="H334" s="45" t="n"/>
      <c r="I334" s="45" t="n"/>
      <c r="J334" s="45" t="n"/>
      <c r="K334" s="45" t="n"/>
      <c r="L334" s="45" t="n"/>
      <c r="M334" s="45" t="n"/>
      <c r="N334" s="45" t="n"/>
      <c r="O334" s="46" t="n"/>
      <c r="P334" s="45" t="n"/>
      <c r="Q334" s="45" t="n"/>
      <c r="R334" s="45" t="str">
        <f>IF(AND(A334="",B334=""),"",IF(A334="","Missing ID",IF(COUNTIF($A:$A,A334)&gt;1,"Duplicate ID",IF(B334="","Missing title",IF(C334="","Missing module",IF(J334="","Missing steps",IF(K334="","Missing expected result",IF(AND(F334=St_Failed,L334=""),"Add actual result","OK"))))))))</f>
        <v/>
      </c>
    </row>
    <row r="335" ht="32" customHeight="1">
      <c r="A335" s="44" t="n"/>
      <c r="B335" s="45" t="n"/>
      <c r="C335" s="45" t="n"/>
      <c r="D335" s="45" t="n"/>
      <c r="E335" s="44" t="n"/>
      <c r="F335" s="44" t="n"/>
      <c r="G335" s="44" t="n"/>
      <c r="H335" s="45" t="n"/>
      <c r="I335" s="45" t="n"/>
      <c r="J335" s="45" t="n"/>
      <c r="K335" s="45" t="n"/>
      <c r="L335" s="45" t="n"/>
      <c r="M335" s="45" t="n"/>
      <c r="N335" s="45" t="n"/>
      <c r="O335" s="46" t="n"/>
      <c r="P335" s="45" t="n"/>
      <c r="Q335" s="45" t="n"/>
      <c r="R335" s="45" t="str">
        <f>IF(AND(A335="",B335=""),"",IF(A335="","Missing ID",IF(COUNTIF($A:$A,A335)&gt;1,"Duplicate ID",IF(B335="","Missing title",IF(C335="","Missing module",IF(J335="","Missing steps",IF(K335="","Missing expected result",IF(AND(F335=St_Failed,L335=""),"Add actual result","OK"))))))))</f>
        <v/>
      </c>
    </row>
    <row r="336" ht="32" customHeight="1">
      <c r="A336" s="44" t="n"/>
      <c r="B336" s="45" t="n"/>
      <c r="C336" s="45" t="n"/>
      <c r="D336" s="45" t="n"/>
      <c r="E336" s="44" t="n"/>
      <c r="F336" s="44" t="n"/>
      <c r="G336" s="44" t="n"/>
      <c r="H336" s="45" t="n"/>
      <c r="I336" s="45" t="n"/>
      <c r="J336" s="45" t="n"/>
      <c r="K336" s="45" t="n"/>
      <c r="L336" s="45" t="n"/>
      <c r="M336" s="45" t="n"/>
      <c r="N336" s="45" t="n"/>
      <c r="O336" s="46" t="n"/>
      <c r="P336" s="45" t="n"/>
      <c r="Q336" s="45" t="n"/>
      <c r="R336" s="45" t="str">
        <f>IF(AND(A336="",B336=""),"",IF(A336="","Missing ID",IF(COUNTIF($A:$A,A336)&gt;1,"Duplicate ID",IF(B336="","Missing title",IF(C336="","Missing module",IF(J336="","Missing steps",IF(K336="","Missing expected result",IF(AND(F336=St_Failed,L336=""),"Add actual result","OK"))))))))</f>
        <v/>
      </c>
    </row>
    <row r="337" ht="32" customHeight="1">
      <c r="A337" s="44" t="n"/>
      <c r="B337" s="45" t="n"/>
      <c r="C337" s="45" t="n"/>
      <c r="D337" s="45" t="n"/>
      <c r="E337" s="44" t="n"/>
      <c r="F337" s="44" t="n"/>
      <c r="G337" s="44" t="n"/>
      <c r="H337" s="45" t="n"/>
      <c r="I337" s="45" t="n"/>
      <c r="J337" s="45" t="n"/>
      <c r="K337" s="45" t="n"/>
      <c r="L337" s="45" t="n"/>
      <c r="M337" s="45" t="n"/>
      <c r="N337" s="45" t="n"/>
      <c r="O337" s="46" t="n"/>
      <c r="P337" s="45" t="n"/>
      <c r="Q337" s="45" t="n"/>
      <c r="R337" s="45" t="str">
        <f>IF(AND(A337="",B337=""),"",IF(A337="","Missing ID",IF(COUNTIF($A:$A,A337)&gt;1,"Duplicate ID",IF(B337="","Missing title",IF(C337="","Missing module",IF(J337="","Missing steps",IF(K337="","Missing expected result",IF(AND(F337=St_Failed,L337=""),"Add actual result","OK"))))))))</f>
        <v/>
      </c>
    </row>
    <row r="338" ht="32" customHeight="1">
      <c r="A338" s="44" t="n"/>
      <c r="B338" s="45" t="n"/>
      <c r="C338" s="45" t="n"/>
      <c r="D338" s="45" t="n"/>
      <c r="E338" s="44" t="n"/>
      <c r="F338" s="44" t="n"/>
      <c r="G338" s="44" t="n"/>
      <c r="H338" s="45" t="n"/>
      <c r="I338" s="45" t="n"/>
      <c r="J338" s="45" t="n"/>
      <c r="K338" s="45" t="n"/>
      <c r="L338" s="45" t="n"/>
      <c r="M338" s="45" t="n"/>
      <c r="N338" s="45" t="n"/>
      <c r="O338" s="46" t="n"/>
      <c r="P338" s="45" t="n"/>
      <c r="Q338" s="45" t="n"/>
      <c r="R338" s="45" t="str">
        <f>IF(AND(A338="",B338=""),"",IF(A338="","Missing ID",IF(COUNTIF($A:$A,A338)&gt;1,"Duplicate ID",IF(B338="","Missing title",IF(C338="","Missing module",IF(J338="","Missing steps",IF(K338="","Missing expected result",IF(AND(F338=St_Failed,L338=""),"Add actual result","OK"))))))))</f>
        <v/>
      </c>
    </row>
    <row r="339" ht="32" customHeight="1">
      <c r="A339" s="44" t="n"/>
      <c r="B339" s="45" t="n"/>
      <c r="C339" s="45" t="n"/>
      <c r="D339" s="45" t="n"/>
      <c r="E339" s="44" t="n"/>
      <c r="F339" s="44" t="n"/>
      <c r="G339" s="44" t="n"/>
      <c r="H339" s="45" t="n"/>
      <c r="I339" s="45" t="n"/>
      <c r="J339" s="45" t="n"/>
      <c r="K339" s="45" t="n"/>
      <c r="L339" s="45" t="n"/>
      <c r="M339" s="45" t="n"/>
      <c r="N339" s="45" t="n"/>
      <c r="O339" s="46" t="n"/>
      <c r="P339" s="45" t="n"/>
      <c r="Q339" s="45" t="n"/>
      <c r="R339" s="45" t="str">
        <f>IF(AND(A339="",B339=""),"",IF(A339="","Missing ID",IF(COUNTIF($A:$A,A339)&gt;1,"Duplicate ID",IF(B339="","Missing title",IF(C339="","Missing module",IF(J339="","Missing steps",IF(K339="","Missing expected result",IF(AND(F339=St_Failed,L339=""),"Add actual result","OK"))))))))</f>
        <v/>
      </c>
    </row>
    <row r="340" ht="32" customHeight="1">
      <c r="A340" s="44" t="n"/>
      <c r="B340" s="45" t="n"/>
      <c r="C340" s="45" t="n"/>
      <c r="D340" s="45" t="n"/>
      <c r="E340" s="44" t="n"/>
      <c r="F340" s="44" t="n"/>
      <c r="G340" s="44" t="n"/>
      <c r="H340" s="45" t="n"/>
      <c r="I340" s="45" t="n"/>
      <c r="J340" s="45" t="n"/>
      <c r="K340" s="45" t="n"/>
      <c r="L340" s="45" t="n"/>
      <c r="M340" s="45" t="n"/>
      <c r="N340" s="45" t="n"/>
      <c r="O340" s="46" t="n"/>
      <c r="P340" s="45" t="n"/>
      <c r="Q340" s="45" t="n"/>
      <c r="R340" s="45" t="str">
        <f>IF(AND(A340="",B340=""),"",IF(A340="","Missing ID",IF(COUNTIF($A:$A,A340)&gt;1,"Duplicate ID",IF(B340="","Missing title",IF(C340="","Missing module",IF(J340="","Missing steps",IF(K340="","Missing expected result",IF(AND(F340=St_Failed,L340=""),"Add actual result","OK"))))))))</f>
        <v/>
      </c>
    </row>
    <row r="341" ht="32" customHeight="1">
      <c r="A341" s="44" t="n"/>
      <c r="B341" s="45" t="n"/>
      <c r="C341" s="45" t="n"/>
      <c r="D341" s="45" t="n"/>
      <c r="E341" s="44" t="n"/>
      <c r="F341" s="44" t="n"/>
      <c r="G341" s="44" t="n"/>
      <c r="H341" s="45" t="n"/>
      <c r="I341" s="45" t="n"/>
      <c r="J341" s="45" t="n"/>
      <c r="K341" s="45" t="n"/>
      <c r="L341" s="45" t="n"/>
      <c r="M341" s="45" t="n"/>
      <c r="N341" s="45" t="n"/>
      <c r="O341" s="46" t="n"/>
      <c r="P341" s="45" t="n"/>
      <c r="Q341" s="45" t="n"/>
      <c r="R341" s="45" t="str">
        <f>IF(AND(A341="",B341=""),"",IF(A341="","Missing ID",IF(COUNTIF($A:$A,A341)&gt;1,"Duplicate ID",IF(B341="","Missing title",IF(C341="","Missing module",IF(J341="","Missing steps",IF(K341="","Missing expected result",IF(AND(F341=St_Failed,L341=""),"Add actual result","OK"))))))))</f>
        <v/>
      </c>
    </row>
    <row r="342" ht="32" customHeight="1">
      <c r="A342" s="44" t="n"/>
      <c r="B342" s="45" t="n"/>
      <c r="C342" s="45" t="n"/>
      <c r="D342" s="45" t="n"/>
      <c r="E342" s="44" t="n"/>
      <c r="F342" s="44" t="n"/>
      <c r="G342" s="44" t="n"/>
      <c r="H342" s="45" t="n"/>
      <c r="I342" s="45" t="n"/>
      <c r="J342" s="45" t="n"/>
      <c r="K342" s="45" t="n"/>
      <c r="L342" s="45" t="n"/>
      <c r="M342" s="45" t="n"/>
      <c r="N342" s="45" t="n"/>
      <c r="O342" s="46" t="n"/>
      <c r="P342" s="45" t="n"/>
      <c r="Q342" s="45" t="n"/>
      <c r="R342" s="45" t="str">
        <f>IF(AND(A342="",B342=""),"",IF(A342="","Missing ID",IF(COUNTIF($A:$A,A342)&gt;1,"Duplicate ID",IF(B342="","Missing title",IF(C342="","Missing module",IF(J342="","Missing steps",IF(K342="","Missing expected result",IF(AND(F342=St_Failed,L342=""),"Add actual result","OK"))))))))</f>
        <v/>
      </c>
    </row>
    <row r="343" ht="32" customHeight="1">
      <c r="A343" s="44" t="n"/>
      <c r="B343" s="45" t="n"/>
      <c r="C343" s="45" t="n"/>
      <c r="D343" s="45" t="n"/>
      <c r="E343" s="44" t="n"/>
      <c r="F343" s="44" t="n"/>
      <c r="G343" s="44" t="n"/>
      <c r="H343" s="45" t="n"/>
      <c r="I343" s="45" t="n"/>
      <c r="J343" s="45" t="n"/>
      <c r="K343" s="45" t="n"/>
      <c r="L343" s="45" t="n"/>
      <c r="M343" s="45" t="n"/>
      <c r="N343" s="45" t="n"/>
      <c r="O343" s="46" t="n"/>
      <c r="P343" s="45" t="n"/>
      <c r="Q343" s="45" t="n"/>
      <c r="R343" s="45" t="str">
        <f>IF(AND(A343="",B343=""),"",IF(A343="","Missing ID",IF(COUNTIF($A:$A,A343)&gt;1,"Duplicate ID",IF(B343="","Missing title",IF(C343="","Missing module",IF(J343="","Missing steps",IF(K343="","Missing expected result",IF(AND(F343=St_Failed,L343=""),"Add actual result","OK"))))))))</f>
        <v/>
      </c>
    </row>
    <row r="344" ht="32" customHeight="1">
      <c r="A344" s="44" t="n"/>
      <c r="B344" s="45" t="n"/>
      <c r="C344" s="45" t="n"/>
      <c r="D344" s="45" t="n"/>
      <c r="E344" s="44" t="n"/>
      <c r="F344" s="44" t="n"/>
      <c r="G344" s="44" t="n"/>
      <c r="H344" s="45" t="n"/>
      <c r="I344" s="45" t="n"/>
      <c r="J344" s="45" t="n"/>
      <c r="K344" s="45" t="n"/>
      <c r="L344" s="45" t="n"/>
      <c r="M344" s="45" t="n"/>
      <c r="N344" s="45" t="n"/>
      <c r="O344" s="46" t="n"/>
      <c r="P344" s="45" t="n"/>
      <c r="Q344" s="45" t="n"/>
      <c r="R344" s="45" t="str">
        <f>IF(AND(A344="",B344=""),"",IF(A344="","Missing ID",IF(COUNTIF($A:$A,A344)&gt;1,"Duplicate ID",IF(B344="","Missing title",IF(C344="","Missing module",IF(J344="","Missing steps",IF(K344="","Missing expected result",IF(AND(F344=St_Failed,L344=""),"Add actual result","OK"))))))))</f>
        <v/>
      </c>
    </row>
    <row r="345" ht="32" customHeight="1">
      <c r="A345" s="44" t="n"/>
      <c r="B345" s="45" t="n"/>
      <c r="C345" s="45" t="n"/>
      <c r="D345" s="45" t="n"/>
      <c r="E345" s="44" t="n"/>
      <c r="F345" s="44" t="n"/>
      <c r="G345" s="44" t="n"/>
      <c r="H345" s="45" t="n"/>
      <c r="I345" s="45" t="n"/>
      <c r="J345" s="45" t="n"/>
      <c r="K345" s="45" t="n"/>
      <c r="L345" s="45" t="n"/>
      <c r="M345" s="45" t="n"/>
      <c r="N345" s="45" t="n"/>
      <c r="O345" s="46" t="n"/>
      <c r="P345" s="45" t="n"/>
      <c r="Q345" s="45" t="n"/>
      <c r="R345" s="45" t="str">
        <f>IF(AND(A345="",B345=""),"",IF(A345="","Missing ID",IF(COUNTIF($A:$A,A345)&gt;1,"Duplicate ID",IF(B345="","Missing title",IF(C345="","Missing module",IF(J345="","Missing steps",IF(K345="","Missing expected result",IF(AND(F345=St_Failed,L345=""),"Add actual result","OK"))))))))</f>
        <v/>
      </c>
    </row>
    <row r="346" ht="32" customHeight="1">
      <c r="A346" s="44" t="n"/>
      <c r="B346" s="45" t="n"/>
      <c r="C346" s="45" t="n"/>
      <c r="D346" s="45" t="n"/>
      <c r="E346" s="44" t="n"/>
      <c r="F346" s="44" t="n"/>
      <c r="G346" s="44" t="n"/>
      <c r="H346" s="45" t="n"/>
      <c r="I346" s="45" t="n"/>
      <c r="J346" s="45" t="n"/>
      <c r="K346" s="45" t="n"/>
      <c r="L346" s="45" t="n"/>
      <c r="M346" s="45" t="n"/>
      <c r="N346" s="45" t="n"/>
      <c r="O346" s="46" t="n"/>
      <c r="P346" s="45" t="n"/>
      <c r="Q346" s="45" t="n"/>
      <c r="R346" s="45" t="str">
        <f>IF(AND(A346="",B346=""),"",IF(A346="","Missing ID",IF(COUNTIF($A:$A,A346)&gt;1,"Duplicate ID",IF(B346="","Missing title",IF(C346="","Missing module",IF(J346="","Missing steps",IF(K346="","Missing expected result",IF(AND(F346=St_Failed,L346=""),"Add actual result","OK"))))))))</f>
        <v/>
      </c>
    </row>
    <row r="347" ht="32" customHeight="1">
      <c r="A347" s="44" t="n"/>
      <c r="B347" s="45" t="n"/>
      <c r="C347" s="45" t="n"/>
      <c r="D347" s="45" t="n"/>
      <c r="E347" s="44" t="n"/>
      <c r="F347" s="44" t="n"/>
      <c r="G347" s="44" t="n"/>
      <c r="H347" s="45" t="n"/>
      <c r="I347" s="45" t="n"/>
      <c r="J347" s="45" t="n"/>
      <c r="K347" s="45" t="n"/>
      <c r="L347" s="45" t="n"/>
      <c r="M347" s="45" t="n"/>
      <c r="N347" s="45" t="n"/>
      <c r="O347" s="46" t="n"/>
      <c r="P347" s="45" t="n"/>
      <c r="Q347" s="45" t="n"/>
      <c r="R347" s="45" t="str">
        <f>IF(AND(A347="",B347=""),"",IF(A347="","Missing ID",IF(COUNTIF($A:$A,A347)&gt;1,"Duplicate ID",IF(B347="","Missing title",IF(C347="","Missing module",IF(J347="","Missing steps",IF(K347="","Missing expected result",IF(AND(F347=St_Failed,L347=""),"Add actual result","OK"))))))))</f>
        <v/>
      </c>
    </row>
    <row r="348" ht="32" customHeight="1">
      <c r="A348" s="44" t="n"/>
      <c r="B348" s="45" t="n"/>
      <c r="C348" s="45" t="n"/>
      <c r="D348" s="45" t="n"/>
      <c r="E348" s="44" t="n"/>
      <c r="F348" s="44" t="n"/>
      <c r="G348" s="44" t="n"/>
      <c r="H348" s="45" t="n"/>
      <c r="I348" s="45" t="n"/>
      <c r="J348" s="45" t="n"/>
      <c r="K348" s="45" t="n"/>
      <c r="L348" s="45" t="n"/>
      <c r="M348" s="45" t="n"/>
      <c r="N348" s="45" t="n"/>
      <c r="O348" s="46" t="n"/>
      <c r="P348" s="45" t="n"/>
      <c r="Q348" s="45" t="n"/>
      <c r="R348" s="45" t="str">
        <f>IF(AND(A348="",B348=""),"",IF(A348="","Missing ID",IF(COUNTIF($A:$A,A348)&gt;1,"Duplicate ID",IF(B348="","Missing title",IF(C348="","Missing module",IF(J348="","Missing steps",IF(K348="","Missing expected result",IF(AND(F348=St_Failed,L348=""),"Add actual result","OK"))))))))</f>
        <v/>
      </c>
    </row>
    <row r="349" ht="32" customHeight="1">
      <c r="A349" s="44" t="n"/>
      <c r="B349" s="45" t="n"/>
      <c r="C349" s="45" t="n"/>
      <c r="D349" s="45" t="n"/>
      <c r="E349" s="44" t="n"/>
      <c r="F349" s="44" t="n"/>
      <c r="G349" s="44" t="n"/>
      <c r="H349" s="45" t="n"/>
      <c r="I349" s="45" t="n"/>
      <c r="J349" s="45" t="n"/>
      <c r="K349" s="45" t="n"/>
      <c r="L349" s="45" t="n"/>
      <c r="M349" s="45" t="n"/>
      <c r="N349" s="45" t="n"/>
      <c r="O349" s="46" t="n"/>
      <c r="P349" s="45" t="n"/>
      <c r="Q349" s="45" t="n"/>
      <c r="R349" s="45" t="str">
        <f>IF(AND(A349="",B349=""),"",IF(A349="","Missing ID",IF(COUNTIF($A:$A,A349)&gt;1,"Duplicate ID",IF(B349="","Missing title",IF(C349="","Missing module",IF(J349="","Missing steps",IF(K349="","Missing expected result",IF(AND(F349=St_Failed,L349=""),"Add actual result","OK"))))))))</f>
        <v/>
      </c>
    </row>
    <row r="350" ht="32" customHeight="1">
      <c r="A350" s="44" t="n"/>
      <c r="B350" s="45" t="n"/>
      <c r="C350" s="45" t="n"/>
      <c r="D350" s="45" t="n"/>
      <c r="E350" s="44" t="n"/>
      <c r="F350" s="44" t="n"/>
      <c r="G350" s="44" t="n"/>
      <c r="H350" s="45" t="n"/>
      <c r="I350" s="45" t="n"/>
      <c r="J350" s="45" t="n"/>
      <c r="K350" s="45" t="n"/>
      <c r="L350" s="45" t="n"/>
      <c r="M350" s="45" t="n"/>
      <c r="N350" s="45" t="n"/>
      <c r="O350" s="46" t="n"/>
      <c r="P350" s="45" t="n"/>
      <c r="Q350" s="45" t="n"/>
      <c r="R350" s="45" t="str">
        <f>IF(AND(A350="",B350=""),"",IF(A350="","Missing ID",IF(COUNTIF($A:$A,A350)&gt;1,"Duplicate ID",IF(B350="","Missing title",IF(C350="","Missing module",IF(J350="","Missing steps",IF(K350="","Missing expected result",IF(AND(F350=St_Failed,L350=""),"Add actual result","OK"))))))))</f>
        <v/>
      </c>
    </row>
    <row r="351" ht="32" customHeight="1">
      <c r="A351" s="44" t="n"/>
      <c r="B351" s="45" t="n"/>
      <c r="C351" s="45" t="n"/>
      <c r="D351" s="45" t="n"/>
      <c r="E351" s="44" t="n"/>
      <c r="F351" s="44" t="n"/>
      <c r="G351" s="44" t="n"/>
      <c r="H351" s="45" t="n"/>
      <c r="I351" s="45" t="n"/>
      <c r="J351" s="45" t="n"/>
      <c r="K351" s="45" t="n"/>
      <c r="L351" s="45" t="n"/>
      <c r="M351" s="45" t="n"/>
      <c r="N351" s="45" t="n"/>
      <c r="O351" s="46" t="n"/>
      <c r="P351" s="45" t="n"/>
      <c r="Q351" s="45" t="n"/>
      <c r="R351" s="45" t="str">
        <f>IF(AND(A351="",B351=""),"",IF(A351="","Missing ID",IF(COUNTIF($A:$A,A351)&gt;1,"Duplicate ID",IF(B351="","Missing title",IF(C351="","Missing module",IF(J351="","Missing steps",IF(K351="","Missing expected result",IF(AND(F351=St_Failed,L351=""),"Add actual result","OK"))))))))</f>
        <v/>
      </c>
    </row>
    <row r="352" ht="32" customHeight="1">
      <c r="A352" s="44" t="n"/>
      <c r="B352" s="45" t="n"/>
      <c r="C352" s="45" t="n"/>
      <c r="D352" s="45" t="n"/>
      <c r="E352" s="44" t="n"/>
      <c r="F352" s="44" t="n"/>
      <c r="G352" s="44" t="n"/>
      <c r="H352" s="45" t="n"/>
      <c r="I352" s="45" t="n"/>
      <c r="J352" s="45" t="n"/>
      <c r="K352" s="45" t="n"/>
      <c r="L352" s="45" t="n"/>
      <c r="M352" s="45" t="n"/>
      <c r="N352" s="45" t="n"/>
      <c r="O352" s="46" t="n"/>
      <c r="P352" s="45" t="n"/>
      <c r="Q352" s="45" t="n"/>
      <c r="R352" s="45" t="str">
        <f>IF(AND(A352="",B352=""),"",IF(A352="","Missing ID",IF(COUNTIF($A:$A,A352)&gt;1,"Duplicate ID",IF(B352="","Missing title",IF(C352="","Missing module",IF(J352="","Missing steps",IF(K352="","Missing expected result",IF(AND(F352=St_Failed,L352=""),"Add actual result","OK"))))))))</f>
        <v/>
      </c>
    </row>
    <row r="353" ht="32" customHeight="1">
      <c r="A353" s="44" t="n"/>
      <c r="B353" s="45" t="n"/>
      <c r="C353" s="45" t="n"/>
      <c r="D353" s="45" t="n"/>
      <c r="E353" s="44" t="n"/>
      <c r="F353" s="44" t="n"/>
      <c r="G353" s="44" t="n"/>
      <c r="H353" s="45" t="n"/>
      <c r="I353" s="45" t="n"/>
      <c r="J353" s="45" t="n"/>
      <c r="K353" s="45" t="n"/>
      <c r="L353" s="45" t="n"/>
      <c r="M353" s="45" t="n"/>
      <c r="N353" s="45" t="n"/>
      <c r="O353" s="46" t="n"/>
      <c r="P353" s="45" t="n"/>
      <c r="Q353" s="45" t="n"/>
      <c r="R353" s="45" t="str">
        <f>IF(AND(A353="",B353=""),"",IF(A353="","Missing ID",IF(COUNTIF($A:$A,A353)&gt;1,"Duplicate ID",IF(B353="","Missing title",IF(C353="","Missing module",IF(J353="","Missing steps",IF(K353="","Missing expected result",IF(AND(F353=St_Failed,L353=""),"Add actual result","OK"))))))))</f>
        <v/>
      </c>
    </row>
    <row r="354" ht="32" customHeight="1">
      <c r="A354" s="44" t="n"/>
      <c r="B354" s="45" t="n"/>
      <c r="C354" s="45" t="n"/>
      <c r="D354" s="45" t="n"/>
      <c r="E354" s="44" t="n"/>
      <c r="F354" s="44" t="n"/>
      <c r="G354" s="44" t="n"/>
      <c r="H354" s="45" t="n"/>
      <c r="I354" s="45" t="n"/>
      <c r="J354" s="45" t="n"/>
      <c r="K354" s="45" t="n"/>
      <c r="L354" s="45" t="n"/>
      <c r="M354" s="45" t="n"/>
      <c r="N354" s="45" t="n"/>
      <c r="O354" s="46" t="n"/>
      <c r="P354" s="45" t="n"/>
      <c r="Q354" s="45" t="n"/>
      <c r="R354" s="45" t="str">
        <f>IF(AND(A354="",B354=""),"",IF(A354="","Missing ID",IF(COUNTIF($A:$A,A354)&gt;1,"Duplicate ID",IF(B354="","Missing title",IF(C354="","Missing module",IF(J354="","Missing steps",IF(K354="","Missing expected result",IF(AND(F354=St_Failed,L354=""),"Add actual result","OK"))))))))</f>
        <v/>
      </c>
    </row>
    <row r="355" ht="32" customHeight="1">
      <c r="A355" s="44" t="n"/>
      <c r="B355" s="45" t="n"/>
      <c r="C355" s="45" t="n"/>
      <c r="D355" s="45" t="n"/>
      <c r="E355" s="44" t="n"/>
      <c r="F355" s="44" t="n"/>
      <c r="G355" s="44" t="n"/>
      <c r="H355" s="45" t="n"/>
      <c r="I355" s="45" t="n"/>
      <c r="J355" s="45" t="n"/>
      <c r="K355" s="45" t="n"/>
      <c r="L355" s="45" t="n"/>
      <c r="M355" s="45" t="n"/>
      <c r="N355" s="45" t="n"/>
      <c r="O355" s="46" t="n"/>
      <c r="P355" s="45" t="n"/>
      <c r="Q355" s="45" t="n"/>
      <c r="R355" s="45" t="str">
        <f>IF(AND(A355="",B355=""),"",IF(A355="","Missing ID",IF(COUNTIF($A:$A,A355)&gt;1,"Duplicate ID",IF(B355="","Missing title",IF(C355="","Missing module",IF(J355="","Missing steps",IF(K355="","Missing expected result",IF(AND(F355=St_Failed,L355=""),"Add actual result","OK"))))))))</f>
        <v/>
      </c>
    </row>
    <row r="356" ht="32" customHeight="1">
      <c r="A356" s="44" t="n"/>
      <c r="B356" s="45" t="n"/>
      <c r="C356" s="45" t="n"/>
      <c r="D356" s="45" t="n"/>
      <c r="E356" s="44" t="n"/>
      <c r="F356" s="44" t="n"/>
      <c r="G356" s="44" t="n"/>
      <c r="H356" s="45" t="n"/>
      <c r="I356" s="45" t="n"/>
      <c r="J356" s="45" t="n"/>
      <c r="K356" s="45" t="n"/>
      <c r="L356" s="45" t="n"/>
      <c r="M356" s="45" t="n"/>
      <c r="N356" s="45" t="n"/>
      <c r="O356" s="46" t="n"/>
      <c r="P356" s="45" t="n"/>
      <c r="Q356" s="45" t="n"/>
      <c r="R356" s="45" t="str">
        <f>IF(AND(A356="",B356=""),"",IF(A356="","Missing ID",IF(COUNTIF($A:$A,A356)&gt;1,"Duplicate ID",IF(B356="","Missing title",IF(C356="","Missing module",IF(J356="","Missing steps",IF(K356="","Missing expected result",IF(AND(F356=St_Failed,L356=""),"Add actual result","OK"))))))))</f>
        <v/>
      </c>
    </row>
    <row r="357" ht="32" customHeight="1">
      <c r="A357" s="44" t="n"/>
      <c r="B357" s="45" t="n"/>
      <c r="C357" s="45" t="n"/>
      <c r="D357" s="45" t="n"/>
      <c r="E357" s="44" t="n"/>
      <c r="F357" s="44" t="n"/>
      <c r="G357" s="44" t="n"/>
      <c r="H357" s="45" t="n"/>
      <c r="I357" s="45" t="n"/>
      <c r="J357" s="45" t="n"/>
      <c r="K357" s="45" t="n"/>
      <c r="L357" s="45" t="n"/>
      <c r="M357" s="45" t="n"/>
      <c r="N357" s="45" t="n"/>
      <c r="O357" s="46" t="n"/>
      <c r="P357" s="45" t="n"/>
      <c r="Q357" s="45" t="n"/>
      <c r="R357" s="45" t="str">
        <f>IF(AND(A357="",B357=""),"",IF(A357="","Missing ID",IF(COUNTIF($A:$A,A357)&gt;1,"Duplicate ID",IF(B357="","Missing title",IF(C357="","Missing module",IF(J357="","Missing steps",IF(K357="","Missing expected result",IF(AND(F357=St_Failed,L357=""),"Add actual result","OK"))))))))</f>
        <v/>
      </c>
    </row>
    <row r="358" ht="32" customHeight="1">
      <c r="A358" s="44" t="n"/>
      <c r="B358" s="45" t="n"/>
      <c r="C358" s="45" t="n"/>
      <c r="D358" s="45" t="n"/>
      <c r="E358" s="44" t="n"/>
      <c r="F358" s="44" t="n"/>
      <c r="G358" s="44" t="n"/>
      <c r="H358" s="45" t="n"/>
      <c r="I358" s="45" t="n"/>
      <c r="J358" s="45" t="n"/>
      <c r="K358" s="45" t="n"/>
      <c r="L358" s="45" t="n"/>
      <c r="M358" s="45" t="n"/>
      <c r="N358" s="45" t="n"/>
      <c r="O358" s="46" t="n"/>
      <c r="P358" s="45" t="n"/>
      <c r="Q358" s="45" t="n"/>
      <c r="R358" s="45" t="str">
        <f>IF(AND(A358="",B358=""),"",IF(A358="","Missing ID",IF(COUNTIF($A:$A,A358)&gt;1,"Duplicate ID",IF(B358="","Missing title",IF(C358="","Missing module",IF(J358="","Missing steps",IF(K358="","Missing expected result",IF(AND(F358=St_Failed,L358=""),"Add actual result","OK"))))))))</f>
        <v/>
      </c>
    </row>
    <row r="359" ht="32" customHeight="1">
      <c r="A359" s="44" t="n"/>
      <c r="B359" s="45" t="n"/>
      <c r="C359" s="45" t="n"/>
      <c r="D359" s="45" t="n"/>
      <c r="E359" s="44" t="n"/>
      <c r="F359" s="44" t="n"/>
      <c r="G359" s="44" t="n"/>
      <c r="H359" s="45" t="n"/>
      <c r="I359" s="45" t="n"/>
      <c r="J359" s="45" t="n"/>
      <c r="K359" s="45" t="n"/>
      <c r="L359" s="45" t="n"/>
      <c r="M359" s="45" t="n"/>
      <c r="N359" s="45" t="n"/>
      <c r="O359" s="46" t="n"/>
      <c r="P359" s="45" t="n"/>
      <c r="Q359" s="45" t="n"/>
      <c r="R359" s="45" t="str">
        <f>IF(AND(A359="",B359=""),"",IF(A359="","Missing ID",IF(COUNTIF($A:$A,A359)&gt;1,"Duplicate ID",IF(B359="","Missing title",IF(C359="","Missing module",IF(J359="","Missing steps",IF(K359="","Missing expected result",IF(AND(F359=St_Failed,L359=""),"Add actual result","OK"))))))))</f>
        <v/>
      </c>
    </row>
    <row r="360" ht="32" customHeight="1">
      <c r="A360" s="44" t="n"/>
      <c r="B360" s="45" t="n"/>
      <c r="C360" s="45" t="n"/>
      <c r="D360" s="45" t="n"/>
      <c r="E360" s="44" t="n"/>
      <c r="F360" s="44" t="n"/>
      <c r="G360" s="44" t="n"/>
      <c r="H360" s="45" t="n"/>
      <c r="I360" s="45" t="n"/>
      <c r="J360" s="45" t="n"/>
      <c r="K360" s="45" t="n"/>
      <c r="L360" s="45" t="n"/>
      <c r="M360" s="45" t="n"/>
      <c r="N360" s="45" t="n"/>
      <c r="O360" s="46" t="n"/>
      <c r="P360" s="45" t="n"/>
      <c r="Q360" s="45" t="n"/>
      <c r="R360" s="45" t="str">
        <f>IF(AND(A360="",B360=""),"",IF(A360="","Missing ID",IF(COUNTIF($A:$A,A360)&gt;1,"Duplicate ID",IF(B360="","Missing title",IF(C360="","Missing module",IF(J360="","Missing steps",IF(K360="","Missing expected result",IF(AND(F360=St_Failed,L360=""),"Add actual result","OK"))))))))</f>
        <v/>
      </c>
    </row>
    <row r="361" ht="32" customHeight="1">
      <c r="A361" s="44" t="n"/>
      <c r="B361" s="45" t="n"/>
      <c r="C361" s="45" t="n"/>
      <c r="D361" s="45" t="n"/>
      <c r="E361" s="44" t="n"/>
      <c r="F361" s="44" t="n"/>
      <c r="G361" s="44" t="n"/>
      <c r="H361" s="45" t="n"/>
      <c r="I361" s="45" t="n"/>
      <c r="J361" s="45" t="n"/>
      <c r="K361" s="45" t="n"/>
      <c r="L361" s="45" t="n"/>
      <c r="M361" s="45" t="n"/>
      <c r="N361" s="45" t="n"/>
      <c r="O361" s="46" t="n"/>
      <c r="P361" s="45" t="n"/>
      <c r="Q361" s="45" t="n"/>
      <c r="R361" s="45" t="str">
        <f>IF(AND(A361="",B361=""),"",IF(A361="","Missing ID",IF(COUNTIF($A:$A,A361)&gt;1,"Duplicate ID",IF(B361="","Missing title",IF(C361="","Missing module",IF(J361="","Missing steps",IF(K361="","Missing expected result",IF(AND(F361=St_Failed,L361=""),"Add actual result","OK"))))))))</f>
        <v/>
      </c>
    </row>
    <row r="362" ht="32" customHeight="1">
      <c r="A362" s="44" t="n"/>
      <c r="B362" s="45" t="n"/>
      <c r="C362" s="45" t="n"/>
      <c r="D362" s="45" t="n"/>
      <c r="E362" s="44" t="n"/>
      <c r="F362" s="44" t="n"/>
      <c r="G362" s="44" t="n"/>
      <c r="H362" s="45" t="n"/>
      <c r="I362" s="45" t="n"/>
      <c r="J362" s="45" t="n"/>
      <c r="K362" s="45" t="n"/>
      <c r="L362" s="45" t="n"/>
      <c r="M362" s="45" t="n"/>
      <c r="N362" s="45" t="n"/>
      <c r="O362" s="46" t="n"/>
      <c r="P362" s="45" t="n"/>
      <c r="Q362" s="45" t="n"/>
      <c r="R362" s="45" t="str">
        <f>IF(AND(A362="",B362=""),"",IF(A362="","Missing ID",IF(COUNTIF($A:$A,A362)&gt;1,"Duplicate ID",IF(B362="","Missing title",IF(C362="","Missing module",IF(J362="","Missing steps",IF(K362="","Missing expected result",IF(AND(F362=St_Failed,L362=""),"Add actual result","OK"))))))))</f>
        <v/>
      </c>
    </row>
    <row r="363" ht="32" customHeight="1">
      <c r="A363" s="44" t="n"/>
      <c r="B363" s="45" t="n"/>
      <c r="C363" s="45" t="n"/>
      <c r="D363" s="45" t="n"/>
      <c r="E363" s="44" t="n"/>
      <c r="F363" s="44" t="n"/>
      <c r="G363" s="44" t="n"/>
      <c r="H363" s="45" t="n"/>
      <c r="I363" s="45" t="n"/>
      <c r="J363" s="45" t="n"/>
      <c r="K363" s="45" t="n"/>
      <c r="L363" s="45" t="n"/>
      <c r="M363" s="45" t="n"/>
      <c r="N363" s="45" t="n"/>
      <c r="O363" s="46" t="n"/>
      <c r="P363" s="45" t="n"/>
      <c r="Q363" s="45" t="n"/>
      <c r="R363" s="45" t="str">
        <f>IF(AND(A363="",B363=""),"",IF(A363="","Missing ID",IF(COUNTIF($A:$A,A363)&gt;1,"Duplicate ID",IF(B363="","Missing title",IF(C363="","Missing module",IF(J363="","Missing steps",IF(K363="","Missing expected result",IF(AND(F363=St_Failed,L363=""),"Add actual result","OK"))))))))</f>
        <v/>
      </c>
    </row>
    <row r="364" ht="32" customHeight="1">
      <c r="A364" s="44" t="n"/>
      <c r="B364" s="45" t="n"/>
      <c r="C364" s="45" t="n"/>
      <c r="D364" s="45" t="n"/>
      <c r="E364" s="44" t="n"/>
      <c r="F364" s="44" t="n"/>
      <c r="G364" s="44" t="n"/>
      <c r="H364" s="45" t="n"/>
      <c r="I364" s="45" t="n"/>
      <c r="J364" s="45" t="n"/>
      <c r="K364" s="45" t="n"/>
      <c r="L364" s="45" t="n"/>
      <c r="M364" s="45" t="n"/>
      <c r="N364" s="45" t="n"/>
      <c r="O364" s="46" t="n"/>
      <c r="P364" s="45" t="n"/>
      <c r="Q364" s="45" t="n"/>
      <c r="R364" s="45" t="str">
        <f>IF(AND(A364="",B364=""),"",IF(A364="","Missing ID",IF(COUNTIF($A:$A,A364)&gt;1,"Duplicate ID",IF(B364="","Missing title",IF(C364="","Missing module",IF(J364="","Missing steps",IF(K364="","Missing expected result",IF(AND(F364=St_Failed,L364=""),"Add actual result","OK"))))))))</f>
        <v/>
      </c>
    </row>
    <row r="365" ht="32" customHeight="1">
      <c r="A365" s="44" t="n"/>
      <c r="B365" s="45" t="n"/>
      <c r="C365" s="45" t="n"/>
      <c r="D365" s="45" t="n"/>
      <c r="E365" s="44" t="n"/>
      <c r="F365" s="44" t="n"/>
      <c r="G365" s="44" t="n"/>
      <c r="H365" s="45" t="n"/>
      <c r="I365" s="45" t="n"/>
      <c r="J365" s="45" t="n"/>
      <c r="K365" s="45" t="n"/>
      <c r="L365" s="45" t="n"/>
      <c r="M365" s="45" t="n"/>
      <c r="N365" s="45" t="n"/>
      <c r="O365" s="46" t="n"/>
      <c r="P365" s="45" t="n"/>
      <c r="Q365" s="45" t="n"/>
      <c r="R365" s="45" t="str">
        <f>IF(AND(A365="",B365=""),"",IF(A365="","Missing ID",IF(COUNTIF($A:$A,A365)&gt;1,"Duplicate ID",IF(B365="","Missing title",IF(C365="","Missing module",IF(J365="","Missing steps",IF(K365="","Missing expected result",IF(AND(F365=St_Failed,L365=""),"Add actual result","OK"))))))))</f>
        <v/>
      </c>
    </row>
    <row r="366" ht="32" customHeight="1">
      <c r="A366" s="44" t="n"/>
      <c r="B366" s="45" t="n"/>
      <c r="C366" s="45" t="n"/>
      <c r="D366" s="45" t="n"/>
      <c r="E366" s="44" t="n"/>
      <c r="F366" s="44" t="n"/>
      <c r="G366" s="44" t="n"/>
      <c r="H366" s="45" t="n"/>
      <c r="I366" s="45" t="n"/>
      <c r="J366" s="45" t="n"/>
      <c r="K366" s="45" t="n"/>
      <c r="L366" s="45" t="n"/>
      <c r="M366" s="45" t="n"/>
      <c r="N366" s="45" t="n"/>
      <c r="O366" s="46" t="n"/>
      <c r="P366" s="45" t="n"/>
      <c r="Q366" s="45" t="n"/>
      <c r="R366" s="45" t="str">
        <f>IF(AND(A366="",B366=""),"",IF(A366="","Missing ID",IF(COUNTIF($A:$A,A366)&gt;1,"Duplicate ID",IF(B366="","Missing title",IF(C366="","Missing module",IF(J366="","Missing steps",IF(K366="","Missing expected result",IF(AND(F366=St_Failed,L366=""),"Add actual result","OK"))))))))</f>
        <v/>
      </c>
    </row>
    <row r="367" ht="32" customHeight="1">
      <c r="A367" s="44" t="n"/>
      <c r="B367" s="45" t="n"/>
      <c r="C367" s="45" t="n"/>
      <c r="D367" s="45" t="n"/>
      <c r="E367" s="44" t="n"/>
      <c r="F367" s="44" t="n"/>
      <c r="G367" s="44" t="n"/>
      <c r="H367" s="45" t="n"/>
      <c r="I367" s="45" t="n"/>
      <c r="J367" s="45" t="n"/>
      <c r="K367" s="45" t="n"/>
      <c r="L367" s="45" t="n"/>
      <c r="M367" s="45" t="n"/>
      <c r="N367" s="45" t="n"/>
      <c r="O367" s="46" t="n"/>
      <c r="P367" s="45" t="n"/>
      <c r="Q367" s="45" t="n"/>
      <c r="R367" s="45" t="str">
        <f>IF(AND(A367="",B367=""),"",IF(A367="","Missing ID",IF(COUNTIF($A:$A,A367)&gt;1,"Duplicate ID",IF(B367="","Missing title",IF(C367="","Missing module",IF(J367="","Missing steps",IF(K367="","Missing expected result",IF(AND(F367=St_Failed,L367=""),"Add actual result","OK"))))))))</f>
        <v/>
      </c>
    </row>
    <row r="368" ht="32" customHeight="1">
      <c r="A368" s="44" t="n"/>
      <c r="B368" s="45" t="n"/>
      <c r="C368" s="45" t="n"/>
      <c r="D368" s="45" t="n"/>
      <c r="E368" s="44" t="n"/>
      <c r="F368" s="44" t="n"/>
      <c r="G368" s="44" t="n"/>
      <c r="H368" s="45" t="n"/>
      <c r="I368" s="45" t="n"/>
      <c r="J368" s="45" t="n"/>
      <c r="K368" s="45" t="n"/>
      <c r="L368" s="45" t="n"/>
      <c r="M368" s="45" t="n"/>
      <c r="N368" s="45" t="n"/>
      <c r="O368" s="46" t="n"/>
      <c r="P368" s="45" t="n"/>
      <c r="Q368" s="45" t="n"/>
      <c r="R368" s="45" t="str">
        <f>IF(AND(A368="",B368=""),"",IF(A368="","Missing ID",IF(COUNTIF($A:$A,A368)&gt;1,"Duplicate ID",IF(B368="","Missing title",IF(C368="","Missing module",IF(J368="","Missing steps",IF(K368="","Missing expected result",IF(AND(F368=St_Failed,L368=""),"Add actual result","OK"))))))))</f>
        <v/>
      </c>
    </row>
    <row r="369" ht="32" customHeight="1">
      <c r="A369" s="44" t="n"/>
      <c r="B369" s="45" t="n"/>
      <c r="C369" s="45" t="n"/>
      <c r="D369" s="45" t="n"/>
      <c r="E369" s="44" t="n"/>
      <c r="F369" s="44" t="n"/>
      <c r="G369" s="44" t="n"/>
      <c r="H369" s="45" t="n"/>
      <c r="I369" s="45" t="n"/>
      <c r="J369" s="45" t="n"/>
      <c r="K369" s="45" t="n"/>
      <c r="L369" s="45" t="n"/>
      <c r="M369" s="45" t="n"/>
      <c r="N369" s="45" t="n"/>
      <c r="O369" s="46" t="n"/>
      <c r="P369" s="45" t="n"/>
      <c r="Q369" s="45" t="n"/>
      <c r="R369" s="45" t="str">
        <f>IF(AND(A369="",B369=""),"",IF(A369="","Missing ID",IF(COUNTIF($A:$A,A369)&gt;1,"Duplicate ID",IF(B369="","Missing title",IF(C369="","Missing module",IF(J369="","Missing steps",IF(K369="","Missing expected result",IF(AND(F369=St_Failed,L369=""),"Add actual result","OK"))))))))</f>
        <v/>
      </c>
    </row>
    <row r="370" ht="32" customHeight="1">
      <c r="A370" s="44" t="n"/>
      <c r="B370" s="45" t="n"/>
      <c r="C370" s="45" t="n"/>
      <c r="D370" s="45" t="n"/>
      <c r="E370" s="44" t="n"/>
      <c r="F370" s="44" t="n"/>
      <c r="G370" s="44" t="n"/>
      <c r="H370" s="45" t="n"/>
      <c r="I370" s="45" t="n"/>
      <c r="J370" s="45" t="n"/>
      <c r="K370" s="45" t="n"/>
      <c r="L370" s="45" t="n"/>
      <c r="M370" s="45" t="n"/>
      <c r="N370" s="45" t="n"/>
      <c r="O370" s="46" t="n"/>
      <c r="P370" s="45" t="n"/>
      <c r="Q370" s="45" t="n"/>
      <c r="R370" s="45" t="str">
        <f>IF(AND(A370="",B370=""),"",IF(A370="","Missing ID",IF(COUNTIF($A:$A,A370)&gt;1,"Duplicate ID",IF(B370="","Missing title",IF(C370="","Missing module",IF(J370="","Missing steps",IF(K370="","Missing expected result",IF(AND(F370=St_Failed,L370=""),"Add actual result","OK"))))))))</f>
        <v/>
      </c>
    </row>
    <row r="371" ht="32" customHeight="1">
      <c r="A371" s="44" t="n"/>
      <c r="B371" s="45" t="n"/>
      <c r="C371" s="45" t="n"/>
      <c r="D371" s="45" t="n"/>
      <c r="E371" s="44" t="n"/>
      <c r="F371" s="44" t="n"/>
      <c r="G371" s="44" t="n"/>
      <c r="H371" s="45" t="n"/>
      <c r="I371" s="45" t="n"/>
      <c r="J371" s="45" t="n"/>
      <c r="K371" s="45" t="n"/>
      <c r="L371" s="45" t="n"/>
      <c r="M371" s="45" t="n"/>
      <c r="N371" s="45" t="n"/>
      <c r="O371" s="46" t="n"/>
      <c r="P371" s="45" t="n"/>
      <c r="Q371" s="45" t="n"/>
      <c r="R371" s="45" t="str">
        <f>IF(AND(A371="",B371=""),"",IF(A371="","Missing ID",IF(COUNTIF($A:$A,A371)&gt;1,"Duplicate ID",IF(B371="","Missing title",IF(C371="","Missing module",IF(J371="","Missing steps",IF(K371="","Missing expected result",IF(AND(F371=St_Failed,L371=""),"Add actual result","OK"))))))))</f>
        <v/>
      </c>
    </row>
    <row r="372" ht="32" customHeight="1">
      <c r="A372" s="44" t="n"/>
      <c r="B372" s="45" t="n"/>
      <c r="C372" s="45" t="n"/>
      <c r="D372" s="45" t="n"/>
      <c r="E372" s="44" t="n"/>
      <c r="F372" s="44" t="n"/>
      <c r="G372" s="44" t="n"/>
      <c r="H372" s="45" t="n"/>
      <c r="I372" s="45" t="n"/>
      <c r="J372" s="45" t="n"/>
      <c r="K372" s="45" t="n"/>
      <c r="L372" s="45" t="n"/>
      <c r="M372" s="45" t="n"/>
      <c r="N372" s="45" t="n"/>
      <c r="O372" s="46" t="n"/>
      <c r="P372" s="45" t="n"/>
      <c r="Q372" s="45" t="n"/>
      <c r="R372" s="45" t="str">
        <f>IF(AND(A372="",B372=""),"",IF(A372="","Missing ID",IF(COUNTIF($A:$A,A372)&gt;1,"Duplicate ID",IF(B372="","Missing title",IF(C372="","Missing module",IF(J372="","Missing steps",IF(K372="","Missing expected result",IF(AND(F372=St_Failed,L372=""),"Add actual result","OK"))))))))</f>
        <v/>
      </c>
    </row>
    <row r="373" ht="32" customHeight="1">
      <c r="A373" s="44" t="n"/>
      <c r="B373" s="45" t="n"/>
      <c r="C373" s="45" t="n"/>
      <c r="D373" s="45" t="n"/>
      <c r="E373" s="44" t="n"/>
      <c r="F373" s="44" t="n"/>
      <c r="G373" s="44" t="n"/>
      <c r="H373" s="45" t="n"/>
      <c r="I373" s="45" t="n"/>
      <c r="J373" s="45" t="n"/>
      <c r="K373" s="45" t="n"/>
      <c r="L373" s="45" t="n"/>
      <c r="M373" s="45" t="n"/>
      <c r="N373" s="45" t="n"/>
      <c r="O373" s="46" t="n"/>
      <c r="P373" s="45" t="n"/>
      <c r="Q373" s="45" t="n"/>
      <c r="R373" s="45" t="str">
        <f>IF(AND(A373="",B373=""),"",IF(A373="","Missing ID",IF(COUNTIF($A:$A,A373)&gt;1,"Duplicate ID",IF(B373="","Missing title",IF(C373="","Missing module",IF(J373="","Missing steps",IF(K373="","Missing expected result",IF(AND(F373=St_Failed,L373=""),"Add actual result","OK"))))))))</f>
        <v/>
      </c>
    </row>
    <row r="374" ht="32" customHeight="1">
      <c r="A374" s="44" t="n"/>
      <c r="B374" s="45" t="n"/>
      <c r="C374" s="45" t="n"/>
      <c r="D374" s="45" t="n"/>
      <c r="E374" s="44" t="n"/>
      <c r="F374" s="44" t="n"/>
      <c r="G374" s="44" t="n"/>
      <c r="H374" s="45" t="n"/>
      <c r="I374" s="45" t="n"/>
      <c r="J374" s="45" t="n"/>
      <c r="K374" s="45" t="n"/>
      <c r="L374" s="45" t="n"/>
      <c r="M374" s="45" t="n"/>
      <c r="N374" s="45" t="n"/>
      <c r="O374" s="46" t="n"/>
      <c r="P374" s="45" t="n"/>
      <c r="Q374" s="45" t="n"/>
      <c r="R374" s="45" t="str">
        <f>IF(AND(A374="",B374=""),"",IF(A374="","Missing ID",IF(COUNTIF($A:$A,A374)&gt;1,"Duplicate ID",IF(B374="","Missing title",IF(C374="","Missing module",IF(J374="","Missing steps",IF(K374="","Missing expected result",IF(AND(F374=St_Failed,L374=""),"Add actual result","OK"))))))))</f>
        <v/>
      </c>
    </row>
    <row r="375" ht="32" customHeight="1">
      <c r="A375" s="44" t="n"/>
      <c r="B375" s="45" t="n"/>
      <c r="C375" s="45" t="n"/>
      <c r="D375" s="45" t="n"/>
      <c r="E375" s="44" t="n"/>
      <c r="F375" s="44" t="n"/>
      <c r="G375" s="44" t="n"/>
      <c r="H375" s="45" t="n"/>
      <c r="I375" s="45" t="n"/>
      <c r="J375" s="45" t="n"/>
      <c r="K375" s="45" t="n"/>
      <c r="L375" s="45" t="n"/>
      <c r="M375" s="45" t="n"/>
      <c r="N375" s="45" t="n"/>
      <c r="O375" s="46" t="n"/>
      <c r="P375" s="45" t="n"/>
      <c r="Q375" s="45" t="n"/>
      <c r="R375" s="45" t="str">
        <f>IF(AND(A375="",B375=""),"",IF(A375="","Missing ID",IF(COUNTIF($A:$A,A375)&gt;1,"Duplicate ID",IF(B375="","Missing title",IF(C375="","Missing module",IF(J375="","Missing steps",IF(K375="","Missing expected result",IF(AND(F375=St_Failed,L375=""),"Add actual result","OK"))))))))</f>
        <v/>
      </c>
    </row>
    <row r="376" ht="32" customHeight="1">
      <c r="A376" s="44" t="n"/>
      <c r="B376" s="45" t="n"/>
      <c r="C376" s="45" t="n"/>
      <c r="D376" s="45" t="n"/>
      <c r="E376" s="44" t="n"/>
      <c r="F376" s="44" t="n"/>
      <c r="G376" s="44" t="n"/>
      <c r="H376" s="45" t="n"/>
      <c r="I376" s="45" t="n"/>
      <c r="J376" s="45" t="n"/>
      <c r="K376" s="45" t="n"/>
      <c r="L376" s="45" t="n"/>
      <c r="M376" s="45" t="n"/>
      <c r="N376" s="45" t="n"/>
      <c r="O376" s="46" t="n"/>
      <c r="P376" s="45" t="n"/>
      <c r="Q376" s="45" t="n"/>
      <c r="R376" s="45" t="str">
        <f>IF(AND(A376="",B376=""),"",IF(A376="","Missing ID",IF(COUNTIF($A:$A,A376)&gt;1,"Duplicate ID",IF(B376="","Missing title",IF(C376="","Missing module",IF(J376="","Missing steps",IF(K376="","Missing expected result",IF(AND(F376=St_Failed,L376=""),"Add actual result","OK"))))))))</f>
        <v/>
      </c>
    </row>
    <row r="377" ht="32" customHeight="1">
      <c r="A377" s="44" t="n"/>
      <c r="B377" s="45" t="n"/>
      <c r="C377" s="45" t="n"/>
      <c r="D377" s="45" t="n"/>
      <c r="E377" s="44" t="n"/>
      <c r="F377" s="44" t="n"/>
      <c r="G377" s="44" t="n"/>
      <c r="H377" s="45" t="n"/>
      <c r="I377" s="45" t="n"/>
      <c r="J377" s="45" t="n"/>
      <c r="K377" s="45" t="n"/>
      <c r="L377" s="45" t="n"/>
      <c r="M377" s="45" t="n"/>
      <c r="N377" s="45" t="n"/>
      <c r="O377" s="46" t="n"/>
      <c r="P377" s="45" t="n"/>
      <c r="Q377" s="45" t="n"/>
      <c r="R377" s="45" t="str">
        <f>IF(AND(A377="",B377=""),"",IF(A377="","Missing ID",IF(COUNTIF($A:$A,A377)&gt;1,"Duplicate ID",IF(B377="","Missing title",IF(C377="","Missing module",IF(J377="","Missing steps",IF(K377="","Missing expected result",IF(AND(F377=St_Failed,L377=""),"Add actual result","OK"))))))))</f>
        <v/>
      </c>
    </row>
    <row r="378" ht="32" customHeight="1">
      <c r="A378" s="44" t="n"/>
      <c r="B378" s="45" t="n"/>
      <c r="C378" s="45" t="n"/>
      <c r="D378" s="45" t="n"/>
      <c r="E378" s="44" t="n"/>
      <c r="F378" s="44" t="n"/>
      <c r="G378" s="44" t="n"/>
      <c r="H378" s="45" t="n"/>
      <c r="I378" s="45" t="n"/>
      <c r="J378" s="45" t="n"/>
      <c r="K378" s="45" t="n"/>
      <c r="L378" s="45" t="n"/>
      <c r="M378" s="45" t="n"/>
      <c r="N378" s="45" t="n"/>
      <c r="O378" s="46" t="n"/>
      <c r="P378" s="45" t="n"/>
      <c r="Q378" s="45" t="n"/>
      <c r="R378" s="45" t="str">
        <f>IF(AND(A378="",B378=""),"",IF(A378="","Missing ID",IF(COUNTIF($A:$A,A378)&gt;1,"Duplicate ID",IF(B378="","Missing title",IF(C378="","Missing module",IF(J378="","Missing steps",IF(K378="","Missing expected result",IF(AND(F378=St_Failed,L378=""),"Add actual result","OK"))))))))</f>
        <v/>
      </c>
    </row>
    <row r="379" ht="32" customHeight="1">
      <c r="A379" s="44" t="n"/>
      <c r="B379" s="45" t="n"/>
      <c r="C379" s="45" t="n"/>
      <c r="D379" s="45" t="n"/>
      <c r="E379" s="44" t="n"/>
      <c r="F379" s="44" t="n"/>
      <c r="G379" s="44" t="n"/>
      <c r="H379" s="45" t="n"/>
      <c r="I379" s="45" t="n"/>
      <c r="J379" s="45" t="n"/>
      <c r="K379" s="45" t="n"/>
      <c r="L379" s="45" t="n"/>
      <c r="M379" s="45" t="n"/>
      <c r="N379" s="45" t="n"/>
      <c r="O379" s="46" t="n"/>
      <c r="P379" s="45" t="n"/>
      <c r="Q379" s="45" t="n"/>
      <c r="R379" s="45" t="str">
        <f>IF(AND(A379="",B379=""),"",IF(A379="","Missing ID",IF(COUNTIF($A:$A,A379)&gt;1,"Duplicate ID",IF(B379="","Missing title",IF(C379="","Missing module",IF(J379="","Missing steps",IF(K379="","Missing expected result",IF(AND(F379=St_Failed,L379=""),"Add actual result","OK"))))))))</f>
        <v/>
      </c>
    </row>
    <row r="380" ht="32" customHeight="1">
      <c r="A380" s="44" t="n"/>
      <c r="B380" s="45" t="n"/>
      <c r="C380" s="45" t="n"/>
      <c r="D380" s="45" t="n"/>
      <c r="E380" s="44" t="n"/>
      <c r="F380" s="44" t="n"/>
      <c r="G380" s="44" t="n"/>
      <c r="H380" s="45" t="n"/>
      <c r="I380" s="45" t="n"/>
      <c r="J380" s="45" t="n"/>
      <c r="K380" s="45" t="n"/>
      <c r="L380" s="45" t="n"/>
      <c r="M380" s="45" t="n"/>
      <c r="N380" s="45" t="n"/>
      <c r="O380" s="46" t="n"/>
      <c r="P380" s="45" t="n"/>
      <c r="Q380" s="45" t="n"/>
      <c r="R380" s="45" t="str">
        <f>IF(AND(A380="",B380=""),"",IF(A380="","Missing ID",IF(COUNTIF($A:$A,A380)&gt;1,"Duplicate ID",IF(B380="","Missing title",IF(C380="","Missing module",IF(J380="","Missing steps",IF(K380="","Missing expected result",IF(AND(F380=St_Failed,L380=""),"Add actual result","OK"))))))))</f>
        <v/>
      </c>
    </row>
    <row r="381" ht="32" customHeight="1">
      <c r="A381" s="44" t="n"/>
      <c r="B381" s="45" t="n"/>
      <c r="C381" s="45" t="n"/>
      <c r="D381" s="45" t="n"/>
      <c r="E381" s="44" t="n"/>
      <c r="F381" s="44" t="n"/>
      <c r="G381" s="44" t="n"/>
      <c r="H381" s="45" t="n"/>
      <c r="I381" s="45" t="n"/>
      <c r="J381" s="45" t="n"/>
      <c r="K381" s="45" t="n"/>
      <c r="L381" s="45" t="n"/>
      <c r="M381" s="45" t="n"/>
      <c r="N381" s="45" t="n"/>
      <c r="O381" s="46" t="n"/>
      <c r="P381" s="45" t="n"/>
      <c r="Q381" s="45" t="n"/>
      <c r="R381" s="45" t="str">
        <f>IF(AND(A381="",B381=""),"",IF(A381="","Missing ID",IF(COUNTIF($A:$A,A381)&gt;1,"Duplicate ID",IF(B381="","Missing title",IF(C381="","Missing module",IF(J381="","Missing steps",IF(K381="","Missing expected result",IF(AND(F381=St_Failed,L381=""),"Add actual result","OK"))))))))</f>
        <v/>
      </c>
    </row>
    <row r="382" ht="32" customHeight="1">
      <c r="A382" s="44" t="n"/>
      <c r="B382" s="45" t="n"/>
      <c r="C382" s="45" t="n"/>
      <c r="D382" s="45" t="n"/>
      <c r="E382" s="44" t="n"/>
      <c r="F382" s="44" t="n"/>
      <c r="G382" s="44" t="n"/>
      <c r="H382" s="45" t="n"/>
      <c r="I382" s="45" t="n"/>
      <c r="J382" s="45" t="n"/>
      <c r="K382" s="45" t="n"/>
      <c r="L382" s="45" t="n"/>
      <c r="M382" s="45" t="n"/>
      <c r="N382" s="45" t="n"/>
      <c r="O382" s="46" t="n"/>
      <c r="P382" s="45" t="n"/>
      <c r="Q382" s="45" t="n"/>
      <c r="R382" s="45" t="str">
        <f>IF(AND(A382="",B382=""),"",IF(A382="","Missing ID",IF(COUNTIF($A:$A,A382)&gt;1,"Duplicate ID",IF(B382="","Missing title",IF(C382="","Missing module",IF(J382="","Missing steps",IF(K382="","Missing expected result",IF(AND(F382=St_Failed,L382=""),"Add actual result","OK"))))))))</f>
        <v/>
      </c>
    </row>
    <row r="383" ht="32" customHeight="1">
      <c r="A383" s="44" t="n"/>
      <c r="B383" s="45" t="n"/>
      <c r="C383" s="45" t="n"/>
      <c r="D383" s="45" t="n"/>
      <c r="E383" s="44" t="n"/>
      <c r="F383" s="44" t="n"/>
      <c r="G383" s="44" t="n"/>
      <c r="H383" s="45" t="n"/>
      <c r="I383" s="45" t="n"/>
      <c r="J383" s="45" t="n"/>
      <c r="K383" s="45" t="n"/>
      <c r="L383" s="45" t="n"/>
      <c r="M383" s="45" t="n"/>
      <c r="N383" s="45" t="n"/>
      <c r="O383" s="46" t="n"/>
      <c r="P383" s="45" t="n"/>
      <c r="Q383" s="45" t="n"/>
      <c r="R383" s="45" t="str">
        <f>IF(AND(A383="",B383=""),"",IF(A383="","Missing ID",IF(COUNTIF($A:$A,A383)&gt;1,"Duplicate ID",IF(B383="","Missing title",IF(C383="","Missing module",IF(J383="","Missing steps",IF(K383="","Missing expected result",IF(AND(F383=St_Failed,L383=""),"Add actual result","OK"))))))))</f>
        <v/>
      </c>
    </row>
    <row r="384" ht="32" customHeight="1">
      <c r="A384" s="44" t="n"/>
      <c r="B384" s="45" t="n"/>
      <c r="C384" s="45" t="n"/>
      <c r="D384" s="45" t="n"/>
      <c r="E384" s="44" t="n"/>
      <c r="F384" s="44" t="n"/>
      <c r="G384" s="44" t="n"/>
      <c r="H384" s="45" t="n"/>
      <c r="I384" s="45" t="n"/>
      <c r="J384" s="45" t="n"/>
      <c r="K384" s="45" t="n"/>
      <c r="L384" s="45" t="n"/>
      <c r="M384" s="45" t="n"/>
      <c r="N384" s="45" t="n"/>
      <c r="O384" s="46" t="n"/>
      <c r="P384" s="45" t="n"/>
      <c r="Q384" s="45" t="n"/>
      <c r="R384" s="45" t="str">
        <f>IF(AND(A384="",B384=""),"",IF(A384="","Missing ID",IF(COUNTIF($A:$A,A384)&gt;1,"Duplicate ID",IF(B384="","Missing title",IF(C384="","Missing module",IF(J384="","Missing steps",IF(K384="","Missing expected result",IF(AND(F384=St_Failed,L384=""),"Add actual result","OK"))))))))</f>
        <v/>
      </c>
    </row>
    <row r="385" ht="32" customHeight="1">
      <c r="A385" s="44" t="n"/>
      <c r="B385" s="45" t="n"/>
      <c r="C385" s="45" t="n"/>
      <c r="D385" s="45" t="n"/>
      <c r="E385" s="44" t="n"/>
      <c r="F385" s="44" t="n"/>
      <c r="G385" s="44" t="n"/>
      <c r="H385" s="45" t="n"/>
      <c r="I385" s="45" t="n"/>
      <c r="J385" s="45" t="n"/>
      <c r="K385" s="45" t="n"/>
      <c r="L385" s="45" t="n"/>
      <c r="M385" s="45" t="n"/>
      <c r="N385" s="45" t="n"/>
      <c r="O385" s="46" t="n"/>
      <c r="P385" s="45" t="n"/>
      <c r="Q385" s="45" t="n"/>
      <c r="R385" s="45" t="str">
        <f>IF(AND(A385="",B385=""),"",IF(A385="","Missing ID",IF(COUNTIF($A:$A,A385)&gt;1,"Duplicate ID",IF(B385="","Missing title",IF(C385="","Missing module",IF(J385="","Missing steps",IF(K385="","Missing expected result",IF(AND(F385=St_Failed,L385=""),"Add actual result","OK"))))))))</f>
        <v/>
      </c>
    </row>
    <row r="386" ht="32" customHeight="1">
      <c r="A386" s="44" t="n"/>
      <c r="B386" s="45" t="n"/>
      <c r="C386" s="45" t="n"/>
      <c r="D386" s="45" t="n"/>
      <c r="E386" s="44" t="n"/>
      <c r="F386" s="44" t="n"/>
      <c r="G386" s="44" t="n"/>
      <c r="H386" s="45" t="n"/>
      <c r="I386" s="45" t="n"/>
      <c r="J386" s="45" t="n"/>
      <c r="K386" s="45" t="n"/>
      <c r="L386" s="45" t="n"/>
      <c r="M386" s="45" t="n"/>
      <c r="N386" s="45" t="n"/>
      <c r="O386" s="46" t="n"/>
      <c r="P386" s="45" t="n"/>
      <c r="Q386" s="45" t="n"/>
      <c r="R386" s="45" t="str">
        <f>IF(AND(A386="",B386=""),"",IF(A386="","Missing ID",IF(COUNTIF($A:$A,A386)&gt;1,"Duplicate ID",IF(B386="","Missing title",IF(C386="","Missing module",IF(J386="","Missing steps",IF(K386="","Missing expected result",IF(AND(F386=St_Failed,L386=""),"Add actual result","OK"))))))))</f>
        <v/>
      </c>
    </row>
    <row r="387" ht="32" customHeight="1">
      <c r="A387" s="44" t="n"/>
      <c r="B387" s="45" t="n"/>
      <c r="C387" s="45" t="n"/>
      <c r="D387" s="45" t="n"/>
      <c r="E387" s="44" t="n"/>
      <c r="F387" s="44" t="n"/>
      <c r="G387" s="44" t="n"/>
      <c r="H387" s="45" t="n"/>
      <c r="I387" s="45" t="n"/>
      <c r="J387" s="45" t="n"/>
      <c r="K387" s="45" t="n"/>
      <c r="L387" s="45" t="n"/>
      <c r="M387" s="45" t="n"/>
      <c r="N387" s="45" t="n"/>
      <c r="O387" s="46" t="n"/>
      <c r="P387" s="45" t="n"/>
      <c r="Q387" s="45" t="n"/>
      <c r="R387" s="45" t="str">
        <f>IF(AND(A387="",B387=""),"",IF(A387="","Missing ID",IF(COUNTIF($A:$A,A387)&gt;1,"Duplicate ID",IF(B387="","Missing title",IF(C387="","Missing module",IF(J387="","Missing steps",IF(K387="","Missing expected result",IF(AND(F387=St_Failed,L387=""),"Add actual result","OK"))))))))</f>
        <v/>
      </c>
    </row>
    <row r="388" ht="32" customHeight="1">
      <c r="A388" s="44" t="n"/>
      <c r="B388" s="45" t="n"/>
      <c r="C388" s="45" t="n"/>
      <c r="D388" s="45" t="n"/>
      <c r="E388" s="44" t="n"/>
      <c r="F388" s="44" t="n"/>
      <c r="G388" s="44" t="n"/>
      <c r="H388" s="45" t="n"/>
      <c r="I388" s="45" t="n"/>
      <c r="J388" s="45" t="n"/>
      <c r="K388" s="45" t="n"/>
      <c r="L388" s="45" t="n"/>
      <c r="M388" s="45" t="n"/>
      <c r="N388" s="45" t="n"/>
      <c r="O388" s="46" t="n"/>
      <c r="P388" s="45" t="n"/>
      <c r="Q388" s="45" t="n"/>
      <c r="R388" s="45" t="str">
        <f>IF(AND(A388="",B388=""),"",IF(A388="","Missing ID",IF(COUNTIF($A:$A,A388)&gt;1,"Duplicate ID",IF(B388="","Missing title",IF(C388="","Missing module",IF(J388="","Missing steps",IF(K388="","Missing expected result",IF(AND(F388=St_Failed,L388=""),"Add actual result","OK"))))))))</f>
        <v/>
      </c>
    </row>
    <row r="389" ht="32" customHeight="1">
      <c r="A389" s="44" t="n"/>
      <c r="B389" s="45" t="n"/>
      <c r="C389" s="45" t="n"/>
      <c r="D389" s="45" t="n"/>
      <c r="E389" s="44" t="n"/>
      <c r="F389" s="44" t="n"/>
      <c r="G389" s="44" t="n"/>
      <c r="H389" s="45" t="n"/>
      <c r="I389" s="45" t="n"/>
      <c r="J389" s="45" t="n"/>
      <c r="K389" s="45" t="n"/>
      <c r="L389" s="45" t="n"/>
      <c r="M389" s="45" t="n"/>
      <c r="N389" s="45" t="n"/>
      <c r="O389" s="46" t="n"/>
      <c r="P389" s="45" t="n"/>
      <c r="Q389" s="45" t="n"/>
      <c r="R389" s="45" t="str">
        <f>IF(AND(A389="",B389=""),"",IF(A389="","Missing ID",IF(COUNTIF($A:$A,A389)&gt;1,"Duplicate ID",IF(B389="","Missing title",IF(C389="","Missing module",IF(J389="","Missing steps",IF(K389="","Missing expected result",IF(AND(F389=St_Failed,L389=""),"Add actual result","OK"))))))))</f>
        <v/>
      </c>
    </row>
    <row r="390" ht="32" customHeight="1">
      <c r="A390" s="44" t="n"/>
      <c r="B390" s="45" t="n"/>
      <c r="C390" s="45" t="n"/>
      <c r="D390" s="45" t="n"/>
      <c r="E390" s="44" t="n"/>
      <c r="F390" s="44" t="n"/>
      <c r="G390" s="44" t="n"/>
      <c r="H390" s="45" t="n"/>
      <c r="I390" s="45" t="n"/>
      <c r="J390" s="45" t="n"/>
      <c r="K390" s="45" t="n"/>
      <c r="L390" s="45" t="n"/>
      <c r="M390" s="45" t="n"/>
      <c r="N390" s="45" t="n"/>
      <c r="O390" s="46" t="n"/>
      <c r="P390" s="45" t="n"/>
      <c r="Q390" s="45" t="n"/>
      <c r="R390" s="45" t="str">
        <f>IF(AND(A390="",B390=""),"",IF(A390="","Missing ID",IF(COUNTIF($A:$A,A390)&gt;1,"Duplicate ID",IF(B390="","Missing title",IF(C390="","Missing module",IF(J390="","Missing steps",IF(K390="","Missing expected result",IF(AND(F390=St_Failed,L390=""),"Add actual result","OK"))))))))</f>
        <v/>
      </c>
    </row>
    <row r="391" ht="32" customHeight="1">
      <c r="A391" s="44" t="n"/>
      <c r="B391" s="45" t="n"/>
      <c r="C391" s="45" t="n"/>
      <c r="D391" s="45" t="n"/>
      <c r="E391" s="44" t="n"/>
      <c r="F391" s="44" t="n"/>
      <c r="G391" s="44" t="n"/>
      <c r="H391" s="45" t="n"/>
      <c r="I391" s="45" t="n"/>
      <c r="J391" s="45" t="n"/>
      <c r="K391" s="45" t="n"/>
      <c r="L391" s="45" t="n"/>
      <c r="M391" s="45" t="n"/>
      <c r="N391" s="45" t="n"/>
      <c r="O391" s="46" t="n"/>
      <c r="P391" s="45" t="n"/>
      <c r="Q391" s="45" t="n"/>
      <c r="R391" s="45" t="str">
        <f>IF(AND(A391="",B391=""),"",IF(A391="","Missing ID",IF(COUNTIF($A:$A,A391)&gt;1,"Duplicate ID",IF(B391="","Missing title",IF(C391="","Missing module",IF(J391="","Missing steps",IF(K391="","Missing expected result",IF(AND(F391=St_Failed,L391=""),"Add actual result","OK"))))))))</f>
        <v/>
      </c>
    </row>
    <row r="392" ht="32" customHeight="1">
      <c r="A392" s="44" t="n"/>
      <c r="B392" s="45" t="n"/>
      <c r="C392" s="45" t="n"/>
      <c r="D392" s="45" t="n"/>
      <c r="E392" s="44" t="n"/>
      <c r="F392" s="44" t="n"/>
      <c r="G392" s="44" t="n"/>
      <c r="H392" s="45" t="n"/>
      <c r="I392" s="45" t="n"/>
      <c r="J392" s="45" t="n"/>
      <c r="K392" s="45" t="n"/>
      <c r="L392" s="45" t="n"/>
      <c r="M392" s="45" t="n"/>
      <c r="N392" s="45" t="n"/>
      <c r="O392" s="46" t="n"/>
      <c r="P392" s="45" t="n"/>
      <c r="Q392" s="45" t="n"/>
      <c r="R392" s="45" t="str">
        <f>IF(AND(A392="",B392=""),"",IF(A392="","Missing ID",IF(COUNTIF($A:$A,A392)&gt;1,"Duplicate ID",IF(B392="","Missing title",IF(C392="","Missing module",IF(J392="","Missing steps",IF(K392="","Missing expected result",IF(AND(F392=St_Failed,L392=""),"Add actual result","OK"))))))))</f>
        <v/>
      </c>
    </row>
    <row r="393" ht="32" customHeight="1">
      <c r="A393" s="44" t="n"/>
      <c r="B393" s="45" t="n"/>
      <c r="C393" s="45" t="n"/>
      <c r="D393" s="45" t="n"/>
      <c r="E393" s="44" t="n"/>
      <c r="F393" s="44" t="n"/>
      <c r="G393" s="44" t="n"/>
      <c r="H393" s="45" t="n"/>
      <c r="I393" s="45" t="n"/>
      <c r="J393" s="45" t="n"/>
      <c r="K393" s="45" t="n"/>
      <c r="L393" s="45" t="n"/>
      <c r="M393" s="45" t="n"/>
      <c r="N393" s="45" t="n"/>
      <c r="O393" s="46" t="n"/>
      <c r="P393" s="45" t="n"/>
      <c r="Q393" s="45" t="n"/>
      <c r="R393" s="45" t="str">
        <f>IF(AND(A393="",B393=""),"",IF(A393="","Missing ID",IF(COUNTIF($A:$A,A393)&gt;1,"Duplicate ID",IF(B393="","Missing title",IF(C393="","Missing module",IF(J393="","Missing steps",IF(K393="","Missing expected result",IF(AND(F393=St_Failed,L393=""),"Add actual result","OK"))))))))</f>
        <v/>
      </c>
    </row>
    <row r="394" ht="32" customHeight="1">
      <c r="A394" s="44" t="n"/>
      <c r="B394" s="45" t="n"/>
      <c r="C394" s="45" t="n"/>
      <c r="D394" s="45" t="n"/>
      <c r="E394" s="44" t="n"/>
      <c r="F394" s="44" t="n"/>
      <c r="G394" s="44" t="n"/>
      <c r="H394" s="45" t="n"/>
      <c r="I394" s="45" t="n"/>
      <c r="J394" s="45" t="n"/>
      <c r="K394" s="45" t="n"/>
      <c r="L394" s="45" t="n"/>
      <c r="M394" s="45" t="n"/>
      <c r="N394" s="45" t="n"/>
      <c r="O394" s="46" t="n"/>
      <c r="P394" s="45" t="n"/>
      <c r="Q394" s="45" t="n"/>
      <c r="R394" s="45" t="str">
        <f>IF(AND(A394="",B394=""),"",IF(A394="","Missing ID",IF(COUNTIF($A:$A,A394)&gt;1,"Duplicate ID",IF(B394="","Missing title",IF(C394="","Missing module",IF(J394="","Missing steps",IF(K394="","Missing expected result",IF(AND(F394=St_Failed,L394=""),"Add actual result","OK"))))))))</f>
        <v/>
      </c>
    </row>
    <row r="395" ht="32" customHeight="1">
      <c r="A395" s="44" t="n"/>
      <c r="B395" s="45" t="n"/>
      <c r="C395" s="45" t="n"/>
      <c r="D395" s="45" t="n"/>
      <c r="E395" s="44" t="n"/>
      <c r="F395" s="44" t="n"/>
      <c r="G395" s="44" t="n"/>
      <c r="H395" s="45" t="n"/>
      <c r="I395" s="45" t="n"/>
      <c r="J395" s="45" t="n"/>
      <c r="K395" s="45" t="n"/>
      <c r="L395" s="45" t="n"/>
      <c r="M395" s="45" t="n"/>
      <c r="N395" s="45" t="n"/>
      <c r="O395" s="46" t="n"/>
      <c r="P395" s="45" t="n"/>
      <c r="Q395" s="45" t="n"/>
      <c r="R395" s="45" t="str">
        <f>IF(AND(A395="",B395=""),"",IF(A395="","Missing ID",IF(COUNTIF($A:$A,A395)&gt;1,"Duplicate ID",IF(B395="","Missing title",IF(C395="","Missing module",IF(J395="","Missing steps",IF(K395="","Missing expected result",IF(AND(F395=St_Failed,L395=""),"Add actual result","OK"))))))))</f>
        <v/>
      </c>
    </row>
    <row r="396" ht="32" customHeight="1">
      <c r="A396" s="44" t="n"/>
      <c r="B396" s="45" t="n"/>
      <c r="C396" s="45" t="n"/>
      <c r="D396" s="45" t="n"/>
      <c r="E396" s="44" t="n"/>
      <c r="F396" s="44" t="n"/>
      <c r="G396" s="44" t="n"/>
      <c r="H396" s="45" t="n"/>
      <c r="I396" s="45" t="n"/>
      <c r="J396" s="45" t="n"/>
      <c r="K396" s="45" t="n"/>
      <c r="L396" s="45" t="n"/>
      <c r="M396" s="45" t="n"/>
      <c r="N396" s="45" t="n"/>
      <c r="O396" s="46" t="n"/>
      <c r="P396" s="45" t="n"/>
      <c r="Q396" s="45" t="n"/>
      <c r="R396" s="45" t="str">
        <f>IF(AND(A396="",B396=""),"",IF(A396="","Missing ID",IF(COUNTIF($A:$A,A396)&gt;1,"Duplicate ID",IF(B396="","Missing title",IF(C396="","Missing module",IF(J396="","Missing steps",IF(K396="","Missing expected result",IF(AND(F396=St_Failed,L396=""),"Add actual result","OK"))))))))</f>
        <v/>
      </c>
    </row>
    <row r="397" ht="32" customHeight="1">
      <c r="A397" s="44" t="n"/>
      <c r="B397" s="45" t="n"/>
      <c r="C397" s="45" t="n"/>
      <c r="D397" s="45" t="n"/>
      <c r="E397" s="44" t="n"/>
      <c r="F397" s="44" t="n"/>
      <c r="G397" s="44" t="n"/>
      <c r="H397" s="45" t="n"/>
      <c r="I397" s="45" t="n"/>
      <c r="J397" s="45" t="n"/>
      <c r="K397" s="45" t="n"/>
      <c r="L397" s="45" t="n"/>
      <c r="M397" s="45" t="n"/>
      <c r="N397" s="45" t="n"/>
      <c r="O397" s="46" t="n"/>
      <c r="P397" s="45" t="n"/>
      <c r="Q397" s="45" t="n"/>
      <c r="R397" s="45" t="str">
        <f>IF(AND(A397="",B397=""),"",IF(A397="","Missing ID",IF(COUNTIF($A:$A,A397)&gt;1,"Duplicate ID",IF(B397="","Missing title",IF(C397="","Missing module",IF(J397="","Missing steps",IF(K397="","Missing expected result",IF(AND(F397=St_Failed,L397=""),"Add actual result","OK"))))))))</f>
        <v/>
      </c>
    </row>
    <row r="398" ht="32" customHeight="1">
      <c r="A398" s="44" t="n"/>
      <c r="B398" s="45" t="n"/>
      <c r="C398" s="45" t="n"/>
      <c r="D398" s="45" t="n"/>
      <c r="E398" s="44" t="n"/>
      <c r="F398" s="44" t="n"/>
      <c r="G398" s="44" t="n"/>
      <c r="H398" s="45" t="n"/>
      <c r="I398" s="45" t="n"/>
      <c r="J398" s="45" t="n"/>
      <c r="K398" s="45" t="n"/>
      <c r="L398" s="45" t="n"/>
      <c r="M398" s="45" t="n"/>
      <c r="N398" s="45" t="n"/>
      <c r="O398" s="46" t="n"/>
      <c r="P398" s="45" t="n"/>
      <c r="Q398" s="45" t="n"/>
      <c r="R398" s="45" t="str">
        <f>IF(AND(A398="",B398=""),"",IF(A398="","Missing ID",IF(COUNTIF($A:$A,A398)&gt;1,"Duplicate ID",IF(B398="","Missing title",IF(C398="","Missing module",IF(J398="","Missing steps",IF(K398="","Missing expected result",IF(AND(F398=St_Failed,L398=""),"Add actual result","OK"))))))))</f>
        <v/>
      </c>
    </row>
    <row r="399" ht="32" customHeight="1">
      <c r="A399" s="44" t="n"/>
      <c r="B399" s="45" t="n"/>
      <c r="C399" s="45" t="n"/>
      <c r="D399" s="45" t="n"/>
      <c r="E399" s="44" t="n"/>
      <c r="F399" s="44" t="n"/>
      <c r="G399" s="44" t="n"/>
      <c r="H399" s="45" t="n"/>
      <c r="I399" s="45" t="n"/>
      <c r="J399" s="45" t="n"/>
      <c r="K399" s="45" t="n"/>
      <c r="L399" s="45" t="n"/>
      <c r="M399" s="45" t="n"/>
      <c r="N399" s="45" t="n"/>
      <c r="O399" s="46" t="n"/>
      <c r="P399" s="45" t="n"/>
      <c r="Q399" s="45" t="n"/>
      <c r="R399" s="45" t="str">
        <f>IF(AND(A399="",B399=""),"",IF(A399="","Missing ID",IF(COUNTIF($A:$A,A399)&gt;1,"Duplicate ID",IF(B399="","Missing title",IF(C399="","Missing module",IF(J399="","Missing steps",IF(K399="","Missing expected result",IF(AND(F399=St_Failed,L399=""),"Add actual result","OK"))))))))</f>
        <v/>
      </c>
    </row>
    <row r="400" ht="32" customHeight="1">
      <c r="A400" s="44" t="n"/>
      <c r="B400" s="45" t="n"/>
      <c r="C400" s="45" t="n"/>
      <c r="D400" s="45" t="n"/>
      <c r="E400" s="44" t="n"/>
      <c r="F400" s="44" t="n"/>
      <c r="G400" s="44" t="n"/>
      <c r="H400" s="45" t="n"/>
      <c r="I400" s="45" t="n"/>
      <c r="J400" s="45" t="n"/>
      <c r="K400" s="45" t="n"/>
      <c r="L400" s="45" t="n"/>
      <c r="M400" s="45" t="n"/>
      <c r="N400" s="45" t="n"/>
      <c r="O400" s="46" t="n"/>
      <c r="P400" s="45" t="n"/>
      <c r="Q400" s="45" t="n"/>
      <c r="R400" s="45" t="str">
        <f>IF(AND(A400="",B400=""),"",IF(A400="","Missing ID",IF(COUNTIF($A:$A,A400)&gt;1,"Duplicate ID",IF(B400="","Missing title",IF(C400="","Missing module",IF(J400="","Missing steps",IF(K400="","Missing expected result",IF(AND(F400=St_Failed,L400=""),"Add actual result","OK"))))))))</f>
        <v/>
      </c>
    </row>
    <row r="401" ht="32" customHeight="1">
      <c r="A401" s="44" t="n"/>
      <c r="B401" s="45" t="n"/>
      <c r="C401" s="45" t="n"/>
      <c r="D401" s="45" t="n"/>
      <c r="E401" s="44" t="n"/>
      <c r="F401" s="44" t="n"/>
      <c r="G401" s="44" t="n"/>
      <c r="H401" s="45" t="n"/>
      <c r="I401" s="45" t="n"/>
      <c r="J401" s="45" t="n"/>
      <c r="K401" s="45" t="n"/>
      <c r="L401" s="45" t="n"/>
      <c r="M401" s="45" t="n"/>
      <c r="N401" s="45" t="n"/>
      <c r="O401" s="46" t="n"/>
      <c r="P401" s="45" t="n"/>
      <c r="Q401" s="45" t="n"/>
      <c r="R401" s="45" t="str">
        <f>IF(AND(A401="",B401=""),"",IF(A401="","Missing ID",IF(COUNTIF($A:$A,A401)&gt;1,"Duplicate ID",IF(B401="","Missing title",IF(C401="","Missing module",IF(J401="","Missing steps",IF(K401="","Missing expected result",IF(AND(F401=St_Failed,L401=""),"Add actual result","OK"))))))))</f>
        <v/>
      </c>
    </row>
    <row r="402" ht="32" customHeight="1">
      <c r="A402" s="44" t="n"/>
      <c r="B402" s="45" t="n"/>
      <c r="C402" s="45" t="n"/>
      <c r="D402" s="45" t="n"/>
      <c r="E402" s="44" t="n"/>
      <c r="F402" s="44" t="n"/>
      <c r="G402" s="44" t="n"/>
      <c r="H402" s="45" t="n"/>
      <c r="I402" s="45" t="n"/>
      <c r="J402" s="45" t="n"/>
      <c r="K402" s="45" t="n"/>
      <c r="L402" s="45" t="n"/>
      <c r="M402" s="45" t="n"/>
      <c r="N402" s="45" t="n"/>
      <c r="O402" s="46" t="n"/>
      <c r="P402" s="45" t="n"/>
      <c r="Q402" s="45" t="n"/>
      <c r="R402" s="45" t="str">
        <f>IF(AND(A402="",B402=""),"",IF(A402="","Missing ID",IF(COUNTIF($A:$A,A402)&gt;1,"Duplicate ID",IF(B402="","Missing title",IF(C402="","Missing module",IF(J402="","Missing steps",IF(K402="","Missing expected result",IF(AND(F402=St_Failed,L402=""),"Add actual result","OK"))))))))</f>
        <v/>
      </c>
    </row>
    <row r="403" ht="32" customHeight="1">
      <c r="A403" s="44" t="n"/>
      <c r="B403" s="45" t="n"/>
      <c r="C403" s="45" t="n"/>
      <c r="D403" s="45" t="n"/>
      <c r="E403" s="44" t="n"/>
      <c r="F403" s="44" t="n"/>
      <c r="G403" s="44" t="n"/>
      <c r="H403" s="45" t="n"/>
      <c r="I403" s="45" t="n"/>
      <c r="J403" s="45" t="n"/>
      <c r="K403" s="45" t="n"/>
      <c r="L403" s="45" t="n"/>
      <c r="M403" s="45" t="n"/>
      <c r="N403" s="45" t="n"/>
      <c r="O403" s="46" t="n"/>
      <c r="P403" s="45" t="n"/>
      <c r="Q403" s="45" t="n"/>
      <c r="R403" s="45" t="str">
        <f>IF(AND(A403="",B403=""),"",IF(A403="","Missing ID",IF(COUNTIF($A:$A,A403)&gt;1,"Duplicate ID",IF(B403="","Missing title",IF(C403="","Missing module",IF(J403="","Missing steps",IF(K403="","Missing expected result",IF(AND(F403=St_Failed,L403=""),"Add actual result","OK"))))))))</f>
        <v/>
      </c>
    </row>
    <row r="404" ht="32" customHeight="1">
      <c r="A404" s="44" t="n"/>
      <c r="B404" s="45" t="n"/>
      <c r="C404" s="45" t="n"/>
      <c r="D404" s="45" t="n"/>
      <c r="E404" s="44" t="n"/>
      <c r="F404" s="44" t="n"/>
      <c r="G404" s="44" t="n"/>
      <c r="H404" s="45" t="n"/>
      <c r="I404" s="45" t="n"/>
      <c r="J404" s="45" t="n"/>
      <c r="K404" s="45" t="n"/>
      <c r="L404" s="45" t="n"/>
      <c r="M404" s="45" t="n"/>
      <c r="N404" s="45" t="n"/>
      <c r="O404" s="46" t="n"/>
      <c r="P404" s="45" t="n"/>
      <c r="Q404" s="45" t="n"/>
      <c r="R404" s="45" t="str">
        <f>IF(AND(A404="",B404=""),"",IF(A404="","Missing ID",IF(COUNTIF($A:$A,A404)&gt;1,"Duplicate ID",IF(B404="","Missing title",IF(C404="","Missing module",IF(J404="","Missing steps",IF(K404="","Missing expected result",IF(AND(F404=St_Failed,L404=""),"Add actual result","OK"))))))))</f>
        <v/>
      </c>
    </row>
    <row r="405" ht="32" customHeight="1">
      <c r="A405" s="44" t="n"/>
      <c r="B405" s="45" t="n"/>
      <c r="C405" s="45" t="n"/>
      <c r="D405" s="45" t="n"/>
      <c r="E405" s="44" t="n"/>
      <c r="F405" s="44" t="n"/>
      <c r="G405" s="44" t="n"/>
      <c r="H405" s="45" t="n"/>
      <c r="I405" s="45" t="n"/>
      <c r="J405" s="45" t="n"/>
      <c r="K405" s="45" t="n"/>
      <c r="L405" s="45" t="n"/>
      <c r="M405" s="45" t="n"/>
      <c r="N405" s="45" t="n"/>
      <c r="O405" s="46" t="n"/>
      <c r="P405" s="45" t="n"/>
      <c r="Q405" s="45" t="n"/>
      <c r="R405" s="45" t="str">
        <f>IF(AND(A405="",B405=""),"",IF(A405="","Missing ID",IF(COUNTIF($A:$A,A405)&gt;1,"Duplicate ID",IF(B405="","Missing title",IF(C405="","Missing module",IF(J405="","Missing steps",IF(K405="","Missing expected result",IF(AND(F405=St_Failed,L405=""),"Add actual result","OK"))))))))</f>
        <v/>
      </c>
    </row>
    <row r="406" ht="32" customHeight="1">
      <c r="A406" s="44" t="n"/>
      <c r="B406" s="45" t="n"/>
      <c r="C406" s="45" t="n"/>
      <c r="D406" s="45" t="n"/>
      <c r="E406" s="44" t="n"/>
      <c r="F406" s="44" t="n"/>
      <c r="G406" s="44" t="n"/>
      <c r="H406" s="45" t="n"/>
      <c r="I406" s="45" t="n"/>
      <c r="J406" s="45" t="n"/>
      <c r="K406" s="45" t="n"/>
      <c r="L406" s="45" t="n"/>
      <c r="M406" s="45" t="n"/>
      <c r="N406" s="45" t="n"/>
      <c r="O406" s="46" t="n"/>
      <c r="P406" s="45" t="n"/>
      <c r="Q406" s="45" t="n"/>
      <c r="R406" s="45" t="str">
        <f>IF(AND(A406="",B406=""),"",IF(A406="","Missing ID",IF(COUNTIF($A:$A,A406)&gt;1,"Duplicate ID",IF(B406="","Missing title",IF(C406="","Missing module",IF(J406="","Missing steps",IF(K406="","Missing expected result",IF(AND(F406=St_Failed,L406=""),"Add actual result","OK"))))))))</f>
        <v/>
      </c>
    </row>
    <row r="407" ht="32" customHeight="1">
      <c r="A407" s="44" t="n"/>
      <c r="B407" s="45" t="n"/>
      <c r="C407" s="45" t="n"/>
      <c r="D407" s="45" t="n"/>
      <c r="E407" s="44" t="n"/>
      <c r="F407" s="44" t="n"/>
      <c r="G407" s="44" t="n"/>
      <c r="H407" s="45" t="n"/>
      <c r="I407" s="45" t="n"/>
      <c r="J407" s="45" t="n"/>
      <c r="K407" s="45" t="n"/>
      <c r="L407" s="45" t="n"/>
      <c r="M407" s="45" t="n"/>
      <c r="N407" s="45" t="n"/>
      <c r="O407" s="46" t="n"/>
      <c r="P407" s="45" t="n"/>
      <c r="Q407" s="45" t="n"/>
      <c r="R407" s="45" t="str">
        <f>IF(AND(A407="",B407=""),"",IF(A407="","Missing ID",IF(COUNTIF($A:$A,A407)&gt;1,"Duplicate ID",IF(B407="","Missing title",IF(C407="","Missing module",IF(J407="","Missing steps",IF(K407="","Missing expected result",IF(AND(F407=St_Failed,L407=""),"Add actual result","OK"))))))))</f>
        <v/>
      </c>
    </row>
    <row r="408" ht="32" customHeight="1">
      <c r="A408" s="44" t="n"/>
      <c r="B408" s="45" t="n"/>
      <c r="C408" s="45" t="n"/>
      <c r="D408" s="45" t="n"/>
      <c r="E408" s="44" t="n"/>
      <c r="F408" s="44" t="n"/>
      <c r="G408" s="44" t="n"/>
      <c r="H408" s="45" t="n"/>
      <c r="I408" s="45" t="n"/>
      <c r="J408" s="45" t="n"/>
      <c r="K408" s="45" t="n"/>
      <c r="L408" s="45" t="n"/>
      <c r="M408" s="45" t="n"/>
      <c r="N408" s="45" t="n"/>
      <c r="O408" s="46" t="n"/>
      <c r="P408" s="45" t="n"/>
      <c r="Q408" s="45" t="n"/>
      <c r="R408" s="45" t="str">
        <f>IF(AND(A408="",B408=""),"",IF(A408="","Missing ID",IF(COUNTIF($A:$A,A408)&gt;1,"Duplicate ID",IF(B408="","Missing title",IF(C408="","Missing module",IF(J408="","Missing steps",IF(K408="","Missing expected result",IF(AND(F408=St_Failed,L408=""),"Add actual result","OK"))))))))</f>
        <v/>
      </c>
    </row>
    <row r="409" ht="32" customHeight="1">
      <c r="A409" s="44" t="n"/>
      <c r="B409" s="45" t="n"/>
      <c r="C409" s="45" t="n"/>
      <c r="D409" s="45" t="n"/>
      <c r="E409" s="44" t="n"/>
      <c r="F409" s="44" t="n"/>
      <c r="G409" s="44" t="n"/>
      <c r="H409" s="45" t="n"/>
      <c r="I409" s="45" t="n"/>
      <c r="J409" s="45" t="n"/>
      <c r="K409" s="45" t="n"/>
      <c r="L409" s="45" t="n"/>
      <c r="M409" s="45" t="n"/>
      <c r="N409" s="45" t="n"/>
      <c r="O409" s="46" t="n"/>
      <c r="P409" s="45" t="n"/>
      <c r="Q409" s="45" t="n"/>
      <c r="R409" s="45" t="str">
        <f>IF(AND(A409="",B409=""),"",IF(A409="","Missing ID",IF(COUNTIF($A:$A,A409)&gt;1,"Duplicate ID",IF(B409="","Missing title",IF(C409="","Missing module",IF(J409="","Missing steps",IF(K409="","Missing expected result",IF(AND(F409=St_Failed,L409=""),"Add actual result","OK"))))))))</f>
        <v/>
      </c>
    </row>
    <row r="410" ht="32" customHeight="1">
      <c r="A410" s="44" t="n"/>
      <c r="B410" s="45" t="n"/>
      <c r="C410" s="45" t="n"/>
      <c r="D410" s="45" t="n"/>
      <c r="E410" s="44" t="n"/>
      <c r="F410" s="44" t="n"/>
      <c r="G410" s="44" t="n"/>
      <c r="H410" s="45" t="n"/>
      <c r="I410" s="45" t="n"/>
      <c r="J410" s="45" t="n"/>
      <c r="K410" s="45" t="n"/>
      <c r="L410" s="45" t="n"/>
      <c r="M410" s="45" t="n"/>
      <c r="N410" s="45" t="n"/>
      <c r="O410" s="46" t="n"/>
      <c r="P410" s="45" t="n"/>
      <c r="Q410" s="45" t="n"/>
      <c r="R410" s="45" t="str">
        <f>IF(AND(A410="",B410=""),"",IF(A410="","Missing ID",IF(COUNTIF($A:$A,A410)&gt;1,"Duplicate ID",IF(B410="","Missing title",IF(C410="","Missing module",IF(J410="","Missing steps",IF(K410="","Missing expected result",IF(AND(F410=St_Failed,L410=""),"Add actual result","OK"))))))))</f>
        <v/>
      </c>
    </row>
    <row r="411" ht="32" customHeight="1">
      <c r="A411" s="44" t="n"/>
      <c r="B411" s="45" t="n"/>
      <c r="C411" s="45" t="n"/>
      <c r="D411" s="45" t="n"/>
      <c r="E411" s="44" t="n"/>
      <c r="F411" s="44" t="n"/>
      <c r="G411" s="44" t="n"/>
      <c r="H411" s="45" t="n"/>
      <c r="I411" s="45" t="n"/>
      <c r="J411" s="45" t="n"/>
      <c r="K411" s="45" t="n"/>
      <c r="L411" s="45" t="n"/>
      <c r="M411" s="45" t="n"/>
      <c r="N411" s="45" t="n"/>
      <c r="O411" s="46" t="n"/>
      <c r="P411" s="45" t="n"/>
      <c r="Q411" s="45" t="n"/>
      <c r="R411" s="45" t="str">
        <f>IF(AND(A411="",B411=""),"",IF(A411="","Missing ID",IF(COUNTIF($A:$A,A411)&gt;1,"Duplicate ID",IF(B411="","Missing title",IF(C411="","Missing module",IF(J411="","Missing steps",IF(K411="","Missing expected result",IF(AND(F411=St_Failed,L411=""),"Add actual result","OK"))))))))</f>
        <v/>
      </c>
    </row>
    <row r="412" ht="32" customHeight="1">
      <c r="A412" s="44" t="n"/>
      <c r="B412" s="45" t="n"/>
      <c r="C412" s="45" t="n"/>
      <c r="D412" s="45" t="n"/>
      <c r="E412" s="44" t="n"/>
      <c r="F412" s="44" t="n"/>
      <c r="G412" s="44" t="n"/>
      <c r="H412" s="45" t="n"/>
      <c r="I412" s="45" t="n"/>
      <c r="J412" s="45" t="n"/>
      <c r="K412" s="45" t="n"/>
      <c r="L412" s="45" t="n"/>
      <c r="M412" s="45" t="n"/>
      <c r="N412" s="45" t="n"/>
      <c r="O412" s="46" t="n"/>
      <c r="P412" s="45" t="n"/>
      <c r="Q412" s="45" t="n"/>
      <c r="R412" s="45" t="str">
        <f>IF(AND(A412="",B412=""),"",IF(A412="","Missing ID",IF(COUNTIF($A:$A,A412)&gt;1,"Duplicate ID",IF(B412="","Missing title",IF(C412="","Missing module",IF(J412="","Missing steps",IF(K412="","Missing expected result",IF(AND(F412=St_Failed,L412=""),"Add actual result","OK"))))))))</f>
        <v/>
      </c>
    </row>
    <row r="413" ht="32" customHeight="1">
      <c r="A413" s="44" t="n"/>
      <c r="B413" s="45" t="n"/>
      <c r="C413" s="45" t="n"/>
      <c r="D413" s="45" t="n"/>
      <c r="E413" s="44" t="n"/>
      <c r="F413" s="44" t="n"/>
      <c r="G413" s="44" t="n"/>
      <c r="H413" s="45" t="n"/>
      <c r="I413" s="45" t="n"/>
      <c r="J413" s="45" t="n"/>
      <c r="K413" s="45" t="n"/>
      <c r="L413" s="45" t="n"/>
      <c r="M413" s="45" t="n"/>
      <c r="N413" s="45" t="n"/>
      <c r="O413" s="46" t="n"/>
      <c r="P413" s="45" t="n"/>
      <c r="Q413" s="45" t="n"/>
      <c r="R413" s="45" t="str">
        <f>IF(AND(A413="",B413=""),"",IF(A413="","Missing ID",IF(COUNTIF($A:$A,A413)&gt;1,"Duplicate ID",IF(B413="","Missing title",IF(C413="","Missing module",IF(J413="","Missing steps",IF(K413="","Missing expected result",IF(AND(F413=St_Failed,L413=""),"Add actual result","OK"))))))))</f>
        <v/>
      </c>
    </row>
    <row r="414" ht="32" customHeight="1">
      <c r="A414" s="44" t="n"/>
      <c r="B414" s="45" t="n"/>
      <c r="C414" s="45" t="n"/>
      <c r="D414" s="45" t="n"/>
      <c r="E414" s="44" t="n"/>
      <c r="F414" s="44" t="n"/>
      <c r="G414" s="44" t="n"/>
      <c r="H414" s="45" t="n"/>
      <c r="I414" s="45" t="n"/>
      <c r="J414" s="45" t="n"/>
      <c r="K414" s="45" t="n"/>
      <c r="L414" s="45" t="n"/>
      <c r="M414" s="45" t="n"/>
      <c r="N414" s="45" t="n"/>
      <c r="O414" s="46" t="n"/>
      <c r="P414" s="45" t="n"/>
      <c r="Q414" s="45" t="n"/>
      <c r="R414" s="45" t="str">
        <f>IF(AND(A414="",B414=""),"",IF(A414="","Missing ID",IF(COUNTIF($A:$A,A414)&gt;1,"Duplicate ID",IF(B414="","Missing title",IF(C414="","Missing module",IF(J414="","Missing steps",IF(K414="","Missing expected result",IF(AND(F414=St_Failed,L414=""),"Add actual result","OK"))))))))</f>
        <v/>
      </c>
    </row>
    <row r="415" ht="32" customHeight="1">
      <c r="A415" s="44" t="n"/>
      <c r="B415" s="45" t="n"/>
      <c r="C415" s="45" t="n"/>
      <c r="D415" s="45" t="n"/>
      <c r="E415" s="44" t="n"/>
      <c r="F415" s="44" t="n"/>
      <c r="G415" s="44" t="n"/>
      <c r="H415" s="45" t="n"/>
      <c r="I415" s="45" t="n"/>
      <c r="J415" s="45" t="n"/>
      <c r="K415" s="45" t="n"/>
      <c r="L415" s="45" t="n"/>
      <c r="M415" s="45" t="n"/>
      <c r="N415" s="45" t="n"/>
      <c r="O415" s="46" t="n"/>
      <c r="P415" s="45" t="n"/>
      <c r="Q415" s="45" t="n"/>
      <c r="R415" s="45" t="str">
        <f>IF(AND(A415="",B415=""),"",IF(A415="","Missing ID",IF(COUNTIF($A:$A,A415)&gt;1,"Duplicate ID",IF(B415="","Missing title",IF(C415="","Missing module",IF(J415="","Missing steps",IF(K415="","Missing expected result",IF(AND(F415=St_Failed,L415=""),"Add actual result","OK"))))))))</f>
        <v/>
      </c>
    </row>
    <row r="416" ht="32" customHeight="1">
      <c r="A416" s="44" t="n"/>
      <c r="B416" s="45" t="n"/>
      <c r="C416" s="45" t="n"/>
      <c r="D416" s="45" t="n"/>
      <c r="E416" s="44" t="n"/>
      <c r="F416" s="44" t="n"/>
      <c r="G416" s="44" t="n"/>
      <c r="H416" s="45" t="n"/>
      <c r="I416" s="45" t="n"/>
      <c r="J416" s="45" t="n"/>
      <c r="K416" s="45" t="n"/>
      <c r="L416" s="45" t="n"/>
      <c r="M416" s="45" t="n"/>
      <c r="N416" s="45" t="n"/>
      <c r="O416" s="46" t="n"/>
      <c r="P416" s="45" t="n"/>
      <c r="Q416" s="45" t="n"/>
      <c r="R416" s="45" t="str">
        <f>IF(AND(A416="",B416=""),"",IF(A416="","Missing ID",IF(COUNTIF($A:$A,A416)&gt;1,"Duplicate ID",IF(B416="","Missing title",IF(C416="","Missing module",IF(J416="","Missing steps",IF(K416="","Missing expected result",IF(AND(F416=St_Failed,L416=""),"Add actual result","OK"))))))))</f>
        <v/>
      </c>
    </row>
    <row r="417" ht="32" customHeight="1">
      <c r="A417" s="44" t="n"/>
      <c r="B417" s="45" t="n"/>
      <c r="C417" s="45" t="n"/>
      <c r="D417" s="45" t="n"/>
      <c r="E417" s="44" t="n"/>
      <c r="F417" s="44" t="n"/>
      <c r="G417" s="44" t="n"/>
      <c r="H417" s="45" t="n"/>
      <c r="I417" s="45" t="n"/>
      <c r="J417" s="45" t="n"/>
      <c r="K417" s="45" t="n"/>
      <c r="L417" s="45" t="n"/>
      <c r="M417" s="45" t="n"/>
      <c r="N417" s="45" t="n"/>
      <c r="O417" s="46" t="n"/>
      <c r="P417" s="45" t="n"/>
      <c r="Q417" s="45" t="n"/>
      <c r="R417" s="45" t="str">
        <f>IF(AND(A417="",B417=""),"",IF(A417="","Missing ID",IF(COUNTIF($A:$A,A417)&gt;1,"Duplicate ID",IF(B417="","Missing title",IF(C417="","Missing module",IF(J417="","Missing steps",IF(K417="","Missing expected result",IF(AND(F417=St_Failed,L417=""),"Add actual result","OK"))))))))</f>
        <v/>
      </c>
    </row>
    <row r="418" ht="32" customHeight="1">
      <c r="A418" s="44" t="n"/>
      <c r="B418" s="45" t="n"/>
      <c r="C418" s="45" t="n"/>
      <c r="D418" s="45" t="n"/>
      <c r="E418" s="44" t="n"/>
      <c r="F418" s="44" t="n"/>
      <c r="G418" s="44" t="n"/>
      <c r="H418" s="45" t="n"/>
      <c r="I418" s="45" t="n"/>
      <c r="J418" s="45" t="n"/>
      <c r="K418" s="45" t="n"/>
      <c r="L418" s="45" t="n"/>
      <c r="M418" s="45" t="n"/>
      <c r="N418" s="45" t="n"/>
      <c r="O418" s="46" t="n"/>
      <c r="P418" s="45" t="n"/>
      <c r="Q418" s="45" t="n"/>
      <c r="R418" s="45" t="str">
        <f>IF(AND(A418="",B418=""),"",IF(A418="","Missing ID",IF(COUNTIF($A:$A,A418)&gt;1,"Duplicate ID",IF(B418="","Missing title",IF(C418="","Missing module",IF(J418="","Missing steps",IF(K418="","Missing expected result",IF(AND(F418=St_Failed,L418=""),"Add actual result","OK"))))))))</f>
        <v/>
      </c>
    </row>
    <row r="419" ht="32" customHeight="1">
      <c r="A419" s="44" t="n"/>
      <c r="B419" s="45" t="n"/>
      <c r="C419" s="45" t="n"/>
      <c r="D419" s="45" t="n"/>
      <c r="E419" s="44" t="n"/>
      <c r="F419" s="44" t="n"/>
      <c r="G419" s="44" t="n"/>
      <c r="H419" s="45" t="n"/>
      <c r="I419" s="45" t="n"/>
      <c r="J419" s="45" t="n"/>
      <c r="K419" s="45" t="n"/>
      <c r="L419" s="45" t="n"/>
      <c r="M419" s="45" t="n"/>
      <c r="N419" s="45" t="n"/>
      <c r="O419" s="46" t="n"/>
      <c r="P419" s="45" t="n"/>
      <c r="Q419" s="45" t="n"/>
      <c r="R419" s="45" t="str">
        <f>IF(AND(A419="",B419=""),"",IF(A419="","Missing ID",IF(COUNTIF($A:$A,A419)&gt;1,"Duplicate ID",IF(B419="","Missing title",IF(C419="","Missing module",IF(J419="","Missing steps",IF(K419="","Missing expected result",IF(AND(F419=St_Failed,L419=""),"Add actual result","OK"))))))))</f>
        <v/>
      </c>
    </row>
    <row r="420" ht="32" customHeight="1">
      <c r="A420" s="44" t="n"/>
      <c r="B420" s="45" t="n"/>
      <c r="C420" s="45" t="n"/>
      <c r="D420" s="45" t="n"/>
      <c r="E420" s="44" t="n"/>
      <c r="F420" s="44" t="n"/>
      <c r="G420" s="44" t="n"/>
      <c r="H420" s="45" t="n"/>
      <c r="I420" s="45" t="n"/>
      <c r="J420" s="45" t="n"/>
      <c r="K420" s="45" t="n"/>
      <c r="L420" s="45" t="n"/>
      <c r="M420" s="45" t="n"/>
      <c r="N420" s="45" t="n"/>
      <c r="O420" s="46" t="n"/>
      <c r="P420" s="45" t="n"/>
      <c r="Q420" s="45" t="n"/>
      <c r="R420" s="45" t="str">
        <f>IF(AND(A420="",B420=""),"",IF(A420="","Missing ID",IF(COUNTIF($A:$A,A420)&gt;1,"Duplicate ID",IF(B420="","Missing title",IF(C420="","Missing module",IF(J420="","Missing steps",IF(K420="","Missing expected result",IF(AND(F420=St_Failed,L420=""),"Add actual result","OK"))))))))</f>
        <v/>
      </c>
    </row>
    <row r="421" ht="32" customHeight="1">
      <c r="A421" s="44" t="n"/>
      <c r="B421" s="45" t="n"/>
      <c r="C421" s="45" t="n"/>
      <c r="D421" s="45" t="n"/>
      <c r="E421" s="44" t="n"/>
      <c r="F421" s="44" t="n"/>
      <c r="G421" s="44" t="n"/>
      <c r="H421" s="45" t="n"/>
      <c r="I421" s="45" t="n"/>
      <c r="J421" s="45" t="n"/>
      <c r="K421" s="45" t="n"/>
      <c r="L421" s="45" t="n"/>
      <c r="M421" s="45" t="n"/>
      <c r="N421" s="45" t="n"/>
      <c r="O421" s="46" t="n"/>
      <c r="P421" s="45" t="n"/>
      <c r="Q421" s="45" t="n"/>
      <c r="R421" s="45" t="str">
        <f>IF(AND(A421="",B421=""),"",IF(A421="","Missing ID",IF(COUNTIF($A:$A,A421)&gt;1,"Duplicate ID",IF(B421="","Missing title",IF(C421="","Missing module",IF(J421="","Missing steps",IF(K421="","Missing expected result",IF(AND(F421=St_Failed,L421=""),"Add actual result","OK"))))))))</f>
        <v/>
      </c>
    </row>
    <row r="422" ht="32" customHeight="1">
      <c r="A422" s="44" t="n"/>
      <c r="B422" s="45" t="n"/>
      <c r="C422" s="45" t="n"/>
      <c r="D422" s="45" t="n"/>
      <c r="E422" s="44" t="n"/>
      <c r="F422" s="44" t="n"/>
      <c r="G422" s="44" t="n"/>
      <c r="H422" s="45" t="n"/>
      <c r="I422" s="45" t="n"/>
      <c r="J422" s="45" t="n"/>
      <c r="K422" s="45" t="n"/>
      <c r="L422" s="45" t="n"/>
      <c r="M422" s="45" t="n"/>
      <c r="N422" s="45" t="n"/>
      <c r="O422" s="46" t="n"/>
      <c r="P422" s="45" t="n"/>
      <c r="Q422" s="45" t="n"/>
      <c r="R422" s="45" t="str">
        <f>IF(AND(A422="",B422=""),"",IF(A422="","Missing ID",IF(COUNTIF($A:$A,A422)&gt;1,"Duplicate ID",IF(B422="","Missing title",IF(C422="","Missing module",IF(J422="","Missing steps",IF(K422="","Missing expected result",IF(AND(F422=St_Failed,L422=""),"Add actual result","OK"))))))))</f>
        <v/>
      </c>
    </row>
    <row r="423" ht="32" customHeight="1">
      <c r="A423" s="44" t="n"/>
      <c r="B423" s="45" t="n"/>
      <c r="C423" s="45" t="n"/>
      <c r="D423" s="45" t="n"/>
      <c r="E423" s="44" t="n"/>
      <c r="F423" s="44" t="n"/>
      <c r="G423" s="44" t="n"/>
      <c r="H423" s="45" t="n"/>
      <c r="I423" s="45" t="n"/>
      <c r="J423" s="45" t="n"/>
      <c r="K423" s="45" t="n"/>
      <c r="L423" s="45" t="n"/>
      <c r="M423" s="45" t="n"/>
      <c r="N423" s="45" t="n"/>
      <c r="O423" s="46" t="n"/>
      <c r="P423" s="45" t="n"/>
      <c r="Q423" s="45" t="n"/>
      <c r="R423" s="45" t="str">
        <f>IF(AND(A423="",B423=""),"",IF(A423="","Missing ID",IF(COUNTIF($A:$A,A423)&gt;1,"Duplicate ID",IF(B423="","Missing title",IF(C423="","Missing module",IF(J423="","Missing steps",IF(K423="","Missing expected result",IF(AND(F423=St_Failed,L423=""),"Add actual result","OK"))))))))</f>
        <v/>
      </c>
    </row>
    <row r="424" ht="32" customHeight="1">
      <c r="A424" s="44" t="n"/>
      <c r="B424" s="45" t="n"/>
      <c r="C424" s="45" t="n"/>
      <c r="D424" s="45" t="n"/>
      <c r="E424" s="44" t="n"/>
      <c r="F424" s="44" t="n"/>
      <c r="G424" s="44" t="n"/>
      <c r="H424" s="45" t="n"/>
      <c r="I424" s="45" t="n"/>
      <c r="J424" s="45" t="n"/>
      <c r="K424" s="45" t="n"/>
      <c r="L424" s="45" t="n"/>
      <c r="M424" s="45" t="n"/>
      <c r="N424" s="45" t="n"/>
      <c r="O424" s="46" t="n"/>
      <c r="P424" s="45" t="n"/>
      <c r="Q424" s="45" t="n"/>
      <c r="R424" s="45" t="str">
        <f>IF(AND(A424="",B424=""),"",IF(A424="","Missing ID",IF(COUNTIF($A:$A,A424)&gt;1,"Duplicate ID",IF(B424="","Missing title",IF(C424="","Missing module",IF(J424="","Missing steps",IF(K424="","Missing expected result",IF(AND(F424=St_Failed,L424=""),"Add actual result","OK"))))))))</f>
        <v/>
      </c>
    </row>
    <row r="425" ht="32" customHeight="1">
      <c r="A425" s="44" t="n"/>
      <c r="B425" s="45" t="n"/>
      <c r="C425" s="45" t="n"/>
      <c r="D425" s="45" t="n"/>
      <c r="E425" s="44" t="n"/>
      <c r="F425" s="44" t="n"/>
      <c r="G425" s="44" t="n"/>
      <c r="H425" s="45" t="n"/>
      <c r="I425" s="45" t="n"/>
      <c r="J425" s="45" t="n"/>
      <c r="K425" s="45" t="n"/>
      <c r="L425" s="45" t="n"/>
      <c r="M425" s="45" t="n"/>
      <c r="N425" s="45" t="n"/>
      <c r="O425" s="46" t="n"/>
      <c r="P425" s="45" t="n"/>
      <c r="Q425" s="45" t="n"/>
      <c r="R425" s="45" t="str">
        <f>IF(AND(A425="",B425=""),"",IF(A425="","Missing ID",IF(COUNTIF($A:$A,A425)&gt;1,"Duplicate ID",IF(B425="","Missing title",IF(C425="","Missing module",IF(J425="","Missing steps",IF(K425="","Missing expected result",IF(AND(F425=St_Failed,L425=""),"Add actual result","OK"))))))))</f>
        <v/>
      </c>
    </row>
    <row r="426" ht="32" customHeight="1">
      <c r="A426" s="44" t="n"/>
      <c r="B426" s="45" t="n"/>
      <c r="C426" s="45" t="n"/>
      <c r="D426" s="45" t="n"/>
      <c r="E426" s="44" t="n"/>
      <c r="F426" s="44" t="n"/>
      <c r="G426" s="44" t="n"/>
      <c r="H426" s="45" t="n"/>
      <c r="I426" s="45" t="n"/>
      <c r="J426" s="45" t="n"/>
      <c r="K426" s="45" t="n"/>
      <c r="L426" s="45" t="n"/>
      <c r="M426" s="45" t="n"/>
      <c r="N426" s="45" t="n"/>
      <c r="O426" s="46" t="n"/>
      <c r="P426" s="45" t="n"/>
      <c r="Q426" s="45" t="n"/>
      <c r="R426" s="45" t="str">
        <f>IF(AND(A426="",B426=""),"",IF(A426="","Missing ID",IF(COUNTIF($A:$A,A426)&gt;1,"Duplicate ID",IF(B426="","Missing title",IF(C426="","Missing module",IF(J426="","Missing steps",IF(K426="","Missing expected result",IF(AND(F426=St_Failed,L426=""),"Add actual result","OK"))))))))</f>
        <v/>
      </c>
    </row>
    <row r="427" ht="32" customHeight="1">
      <c r="A427" s="44" t="n"/>
      <c r="B427" s="45" t="n"/>
      <c r="C427" s="45" t="n"/>
      <c r="D427" s="45" t="n"/>
      <c r="E427" s="44" t="n"/>
      <c r="F427" s="44" t="n"/>
      <c r="G427" s="44" t="n"/>
      <c r="H427" s="45" t="n"/>
      <c r="I427" s="45" t="n"/>
      <c r="J427" s="45" t="n"/>
      <c r="K427" s="45" t="n"/>
      <c r="L427" s="45" t="n"/>
      <c r="M427" s="45" t="n"/>
      <c r="N427" s="45" t="n"/>
      <c r="O427" s="46" t="n"/>
      <c r="P427" s="45" t="n"/>
      <c r="Q427" s="45" t="n"/>
      <c r="R427" s="45" t="str">
        <f>IF(AND(A427="",B427=""),"",IF(A427="","Missing ID",IF(COUNTIF($A:$A,A427)&gt;1,"Duplicate ID",IF(B427="","Missing title",IF(C427="","Missing module",IF(J427="","Missing steps",IF(K427="","Missing expected result",IF(AND(F427=St_Failed,L427=""),"Add actual result","OK"))))))))</f>
        <v/>
      </c>
    </row>
    <row r="428" ht="32" customHeight="1">
      <c r="A428" s="44" t="n"/>
      <c r="B428" s="45" t="n"/>
      <c r="C428" s="45" t="n"/>
      <c r="D428" s="45" t="n"/>
      <c r="E428" s="44" t="n"/>
      <c r="F428" s="44" t="n"/>
      <c r="G428" s="44" t="n"/>
      <c r="H428" s="45" t="n"/>
      <c r="I428" s="45" t="n"/>
      <c r="J428" s="45" t="n"/>
      <c r="K428" s="45" t="n"/>
      <c r="L428" s="45" t="n"/>
      <c r="M428" s="45" t="n"/>
      <c r="N428" s="45" t="n"/>
      <c r="O428" s="46" t="n"/>
      <c r="P428" s="45" t="n"/>
      <c r="Q428" s="45" t="n"/>
      <c r="R428" s="45" t="str">
        <f>IF(AND(A428="",B428=""),"",IF(A428="","Missing ID",IF(COUNTIF($A:$A,A428)&gt;1,"Duplicate ID",IF(B428="","Missing title",IF(C428="","Missing module",IF(J428="","Missing steps",IF(K428="","Missing expected result",IF(AND(F428=St_Failed,L428=""),"Add actual result","OK"))))))))</f>
        <v/>
      </c>
    </row>
    <row r="429" ht="32" customHeight="1">
      <c r="A429" s="44" t="n"/>
      <c r="B429" s="45" t="n"/>
      <c r="C429" s="45" t="n"/>
      <c r="D429" s="45" t="n"/>
      <c r="E429" s="44" t="n"/>
      <c r="F429" s="44" t="n"/>
      <c r="G429" s="44" t="n"/>
      <c r="H429" s="45" t="n"/>
      <c r="I429" s="45" t="n"/>
      <c r="J429" s="45" t="n"/>
      <c r="K429" s="45" t="n"/>
      <c r="L429" s="45" t="n"/>
      <c r="M429" s="45" t="n"/>
      <c r="N429" s="45" t="n"/>
      <c r="O429" s="46" t="n"/>
      <c r="P429" s="45" t="n"/>
      <c r="Q429" s="45" t="n"/>
      <c r="R429" s="45" t="str">
        <f>IF(AND(A429="",B429=""),"",IF(A429="","Missing ID",IF(COUNTIF($A:$A,A429)&gt;1,"Duplicate ID",IF(B429="","Missing title",IF(C429="","Missing module",IF(J429="","Missing steps",IF(K429="","Missing expected result",IF(AND(F429=St_Failed,L429=""),"Add actual result","OK"))))))))</f>
        <v/>
      </c>
    </row>
    <row r="430" ht="32" customHeight="1">
      <c r="A430" s="44" t="n"/>
      <c r="B430" s="45" t="n"/>
      <c r="C430" s="45" t="n"/>
      <c r="D430" s="45" t="n"/>
      <c r="E430" s="44" t="n"/>
      <c r="F430" s="44" t="n"/>
      <c r="G430" s="44" t="n"/>
      <c r="H430" s="45" t="n"/>
      <c r="I430" s="45" t="n"/>
      <c r="J430" s="45" t="n"/>
      <c r="K430" s="45" t="n"/>
      <c r="L430" s="45" t="n"/>
      <c r="M430" s="45" t="n"/>
      <c r="N430" s="45" t="n"/>
      <c r="O430" s="46" t="n"/>
      <c r="P430" s="45" t="n"/>
      <c r="Q430" s="45" t="n"/>
      <c r="R430" s="45" t="str">
        <f>IF(AND(A430="",B430=""),"",IF(A430="","Missing ID",IF(COUNTIF($A:$A,A430)&gt;1,"Duplicate ID",IF(B430="","Missing title",IF(C430="","Missing module",IF(J430="","Missing steps",IF(K430="","Missing expected result",IF(AND(F430=St_Failed,L430=""),"Add actual result","OK"))))))))</f>
        <v/>
      </c>
    </row>
    <row r="431" ht="32" customHeight="1">
      <c r="A431" s="44" t="n"/>
      <c r="B431" s="45" t="n"/>
      <c r="C431" s="45" t="n"/>
      <c r="D431" s="45" t="n"/>
      <c r="E431" s="44" t="n"/>
      <c r="F431" s="44" t="n"/>
      <c r="G431" s="44" t="n"/>
      <c r="H431" s="45" t="n"/>
      <c r="I431" s="45" t="n"/>
      <c r="J431" s="45" t="n"/>
      <c r="K431" s="45" t="n"/>
      <c r="L431" s="45" t="n"/>
      <c r="M431" s="45" t="n"/>
      <c r="N431" s="45" t="n"/>
      <c r="O431" s="46" t="n"/>
      <c r="P431" s="45" t="n"/>
      <c r="Q431" s="45" t="n"/>
      <c r="R431" s="45" t="str">
        <f>IF(AND(A431="",B431=""),"",IF(A431="","Missing ID",IF(COUNTIF($A:$A,A431)&gt;1,"Duplicate ID",IF(B431="","Missing title",IF(C431="","Missing module",IF(J431="","Missing steps",IF(K431="","Missing expected result",IF(AND(F431=St_Failed,L431=""),"Add actual result","OK"))))))))</f>
        <v/>
      </c>
    </row>
    <row r="432" ht="32" customHeight="1">
      <c r="A432" s="44" t="n"/>
      <c r="B432" s="45" t="n"/>
      <c r="C432" s="45" t="n"/>
      <c r="D432" s="45" t="n"/>
      <c r="E432" s="44" t="n"/>
      <c r="F432" s="44" t="n"/>
      <c r="G432" s="44" t="n"/>
      <c r="H432" s="45" t="n"/>
      <c r="I432" s="45" t="n"/>
      <c r="J432" s="45" t="n"/>
      <c r="K432" s="45" t="n"/>
      <c r="L432" s="45" t="n"/>
      <c r="M432" s="45" t="n"/>
      <c r="N432" s="45" t="n"/>
      <c r="O432" s="46" t="n"/>
      <c r="P432" s="45" t="n"/>
      <c r="Q432" s="45" t="n"/>
      <c r="R432" s="45" t="str">
        <f>IF(AND(A432="",B432=""),"",IF(A432="","Missing ID",IF(COUNTIF($A:$A,A432)&gt;1,"Duplicate ID",IF(B432="","Missing title",IF(C432="","Missing module",IF(J432="","Missing steps",IF(K432="","Missing expected result",IF(AND(F432=St_Failed,L432=""),"Add actual result","OK"))))))))</f>
        <v/>
      </c>
    </row>
    <row r="433" ht="32" customHeight="1">
      <c r="A433" s="44" t="n"/>
      <c r="B433" s="45" t="n"/>
      <c r="C433" s="45" t="n"/>
      <c r="D433" s="45" t="n"/>
      <c r="E433" s="44" t="n"/>
      <c r="F433" s="44" t="n"/>
      <c r="G433" s="44" t="n"/>
      <c r="H433" s="45" t="n"/>
      <c r="I433" s="45" t="n"/>
      <c r="J433" s="45" t="n"/>
      <c r="K433" s="45" t="n"/>
      <c r="L433" s="45" t="n"/>
      <c r="M433" s="45" t="n"/>
      <c r="N433" s="45" t="n"/>
      <c r="O433" s="46" t="n"/>
      <c r="P433" s="45" t="n"/>
      <c r="Q433" s="45" t="n"/>
      <c r="R433" s="45" t="str">
        <f>IF(AND(A433="",B433=""),"",IF(A433="","Missing ID",IF(COUNTIF($A:$A,A433)&gt;1,"Duplicate ID",IF(B433="","Missing title",IF(C433="","Missing module",IF(J433="","Missing steps",IF(K433="","Missing expected result",IF(AND(F433=St_Failed,L433=""),"Add actual result","OK"))))))))</f>
        <v/>
      </c>
    </row>
    <row r="434" ht="32" customHeight="1">
      <c r="A434" s="44" t="n"/>
      <c r="B434" s="45" t="n"/>
      <c r="C434" s="45" t="n"/>
      <c r="D434" s="45" t="n"/>
      <c r="E434" s="44" t="n"/>
      <c r="F434" s="44" t="n"/>
      <c r="G434" s="44" t="n"/>
      <c r="H434" s="45" t="n"/>
      <c r="I434" s="45" t="n"/>
      <c r="J434" s="45" t="n"/>
      <c r="K434" s="45" t="n"/>
      <c r="L434" s="45" t="n"/>
      <c r="M434" s="45" t="n"/>
      <c r="N434" s="45" t="n"/>
      <c r="O434" s="46" t="n"/>
      <c r="P434" s="45" t="n"/>
      <c r="Q434" s="45" t="n"/>
      <c r="R434" s="45" t="str">
        <f>IF(AND(A434="",B434=""),"",IF(A434="","Missing ID",IF(COUNTIF($A:$A,A434)&gt;1,"Duplicate ID",IF(B434="","Missing title",IF(C434="","Missing module",IF(J434="","Missing steps",IF(K434="","Missing expected result",IF(AND(F434=St_Failed,L434=""),"Add actual result","OK"))))))))</f>
        <v/>
      </c>
    </row>
    <row r="435" ht="32" customHeight="1">
      <c r="A435" s="44" t="n"/>
      <c r="B435" s="45" t="n"/>
      <c r="C435" s="45" t="n"/>
      <c r="D435" s="45" t="n"/>
      <c r="E435" s="44" t="n"/>
      <c r="F435" s="44" t="n"/>
      <c r="G435" s="44" t="n"/>
      <c r="H435" s="45" t="n"/>
      <c r="I435" s="45" t="n"/>
      <c r="J435" s="45" t="n"/>
      <c r="K435" s="45" t="n"/>
      <c r="L435" s="45" t="n"/>
      <c r="M435" s="45" t="n"/>
      <c r="N435" s="45" t="n"/>
      <c r="O435" s="46" t="n"/>
      <c r="P435" s="45" t="n"/>
      <c r="Q435" s="45" t="n"/>
      <c r="R435" s="45" t="str">
        <f>IF(AND(A435="",B435=""),"",IF(A435="","Missing ID",IF(COUNTIF($A:$A,A435)&gt;1,"Duplicate ID",IF(B435="","Missing title",IF(C435="","Missing module",IF(J435="","Missing steps",IF(K435="","Missing expected result",IF(AND(F435=St_Failed,L435=""),"Add actual result","OK"))))))))</f>
        <v/>
      </c>
    </row>
    <row r="436" ht="32" customHeight="1">
      <c r="A436" s="44" t="n"/>
      <c r="B436" s="45" t="n"/>
      <c r="C436" s="45" t="n"/>
      <c r="D436" s="45" t="n"/>
      <c r="E436" s="44" t="n"/>
      <c r="F436" s="44" t="n"/>
      <c r="G436" s="44" t="n"/>
      <c r="H436" s="45" t="n"/>
      <c r="I436" s="45" t="n"/>
      <c r="J436" s="45" t="n"/>
      <c r="K436" s="45" t="n"/>
      <c r="L436" s="45" t="n"/>
      <c r="M436" s="45" t="n"/>
      <c r="N436" s="45" t="n"/>
      <c r="O436" s="46" t="n"/>
      <c r="P436" s="45" t="n"/>
      <c r="Q436" s="45" t="n"/>
      <c r="R436" s="45" t="str">
        <f>IF(AND(A436="",B436=""),"",IF(A436="","Missing ID",IF(COUNTIF($A:$A,A436)&gt;1,"Duplicate ID",IF(B436="","Missing title",IF(C436="","Missing module",IF(J436="","Missing steps",IF(K436="","Missing expected result",IF(AND(F436=St_Failed,L436=""),"Add actual result","OK"))))))))</f>
        <v/>
      </c>
    </row>
    <row r="437" ht="32" customHeight="1">
      <c r="A437" s="44" t="n"/>
      <c r="B437" s="45" t="n"/>
      <c r="C437" s="45" t="n"/>
      <c r="D437" s="45" t="n"/>
      <c r="E437" s="44" t="n"/>
      <c r="F437" s="44" t="n"/>
      <c r="G437" s="44" t="n"/>
      <c r="H437" s="45" t="n"/>
      <c r="I437" s="45" t="n"/>
      <c r="J437" s="45" t="n"/>
      <c r="K437" s="45" t="n"/>
      <c r="L437" s="45" t="n"/>
      <c r="M437" s="45" t="n"/>
      <c r="N437" s="45" t="n"/>
      <c r="O437" s="46" t="n"/>
      <c r="P437" s="45" t="n"/>
      <c r="Q437" s="45" t="n"/>
      <c r="R437" s="45" t="str">
        <f>IF(AND(A437="",B437=""),"",IF(A437="","Missing ID",IF(COUNTIF($A:$A,A437)&gt;1,"Duplicate ID",IF(B437="","Missing title",IF(C437="","Missing module",IF(J437="","Missing steps",IF(K437="","Missing expected result",IF(AND(F437=St_Failed,L437=""),"Add actual result","OK"))))))))</f>
        <v/>
      </c>
    </row>
    <row r="438" ht="32" customHeight="1">
      <c r="A438" s="44" t="n"/>
      <c r="B438" s="45" t="n"/>
      <c r="C438" s="45" t="n"/>
      <c r="D438" s="45" t="n"/>
      <c r="E438" s="44" t="n"/>
      <c r="F438" s="44" t="n"/>
      <c r="G438" s="44" t="n"/>
      <c r="H438" s="45" t="n"/>
      <c r="I438" s="45" t="n"/>
      <c r="J438" s="45" t="n"/>
      <c r="K438" s="45" t="n"/>
      <c r="L438" s="45" t="n"/>
      <c r="M438" s="45" t="n"/>
      <c r="N438" s="45" t="n"/>
      <c r="O438" s="46" t="n"/>
      <c r="P438" s="45" t="n"/>
      <c r="Q438" s="45" t="n"/>
      <c r="R438" s="45" t="str">
        <f>IF(AND(A438="",B438=""),"",IF(A438="","Missing ID",IF(COUNTIF($A:$A,A438)&gt;1,"Duplicate ID",IF(B438="","Missing title",IF(C438="","Missing module",IF(J438="","Missing steps",IF(K438="","Missing expected result",IF(AND(F438=St_Failed,L438=""),"Add actual result","OK"))))))))</f>
        <v/>
      </c>
    </row>
    <row r="439" ht="32" customHeight="1">
      <c r="A439" s="44" t="n"/>
      <c r="B439" s="45" t="n"/>
      <c r="C439" s="45" t="n"/>
      <c r="D439" s="45" t="n"/>
      <c r="E439" s="44" t="n"/>
      <c r="F439" s="44" t="n"/>
      <c r="G439" s="44" t="n"/>
      <c r="H439" s="45" t="n"/>
      <c r="I439" s="45" t="n"/>
      <c r="J439" s="45" t="n"/>
      <c r="K439" s="45" t="n"/>
      <c r="L439" s="45" t="n"/>
      <c r="M439" s="45" t="n"/>
      <c r="N439" s="45" t="n"/>
      <c r="O439" s="46" t="n"/>
      <c r="P439" s="45" t="n"/>
      <c r="Q439" s="45" t="n"/>
      <c r="R439" s="45" t="str">
        <f>IF(AND(A439="",B439=""),"",IF(A439="","Missing ID",IF(COUNTIF($A:$A,A439)&gt;1,"Duplicate ID",IF(B439="","Missing title",IF(C439="","Missing module",IF(J439="","Missing steps",IF(K439="","Missing expected result",IF(AND(F439=St_Failed,L439=""),"Add actual result","OK"))))))))</f>
        <v/>
      </c>
    </row>
    <row r="440" ht="32" customHeight="1">
      <c r="A440" s="44" t="n"/>
      <c r="B440" s="45" t="n"/>
      <c r="C440" s="45" t="n"/>
      <c r="D440" s="45" t="n"/>
      <c r="E440" s="44" t="n"/>
      <c r="F440" s="44" t="n"/>
      <c r="G440" s="44" t="n"/>
      <c r="H440" s="45" t="n"/>
      <c r="I440" s="45" t="n"/>
      <c r="J440" s="45" t="n"/>
      <c r="K440" s="45" t="n"/>
      <c r="L440" s="45" t="n"/>
      <c r="M440" s="45" t="n"/>
      <c r="N440" s="45" t="n"/>
      <c r="O440" s="46" t="n"/>
      <c r="P440" s="45" t="n"/>
      <c r="Q440" s="45" t="n"/>
      <c r="R440" s="45" t="str">
        <f>IF(AND(A440="",B440=""),"",IF(A440="","Missing ID",IF(COUNTIF($A:$A,A440)&gt;1,"Duplicate ID",IF(B440="","Missing title",IF(C440="","Missing module",IF(J440="","Missing steps",IF(K440="","Missing expected result",IF(AND(F440=St_Failed,L440=""),"Add actual result","OK"))))))))</f>
        <v/>
      </c>
    </row>
    <row r="441" ht="32" customHeight="1">
      <c r="A441" s="44" t="n"/>
      <c r="B441" s="45" t="n"/>
      <c r="C441" s="45" t="n"/>
      <c r="D441" s="45" t="n"/>
      <c r="E441" s="44" t="n"/>
      <c r="F441" s="44" t="n"/>
      <c r="G441" s="44" t="n"/>
      <c r="H441" s="45" t="n"/>
      <c r="I441" s="45" t="n"/>
      <c r="J441" s="45" t="n"/>
      <c r="K441" s="45" t="n"/>
      <c r="L441" s="45" t="n"/>
      <c r="M441" s="45" t="n"/>
      <c r="N441" s="45" t="n"/>
      <c r="O441" s="46" t="n"/>
      <c r="P441" s="45" t="n"/>
      <c r="Q441" s="45" t="n"/>
      <c r="R441" s="45" t="str">
        <f>IF(AND(A441="",B441=""),"",IF(A441="","Missing ID",IF(COUNTIF($A:$A,A441)&gt;1,"Duplicate ID",IF(B441="","Missing title",IF(C441="","Missing module",IF(J441="","Missing steps",IF(K441="","Missing expected result",IF(AND(F441=St_Failed,L441=""),"Add actual result","OK"))))))))</f>
        <v/>
      </c>
    </row>
    <row r="442" ht="32" customHeight="1">
      <c r="A442" s="44" t="n"/>
      <c r="B442" s="45" t="n"/>
      <c r="C442" s="45" t="n"/>
      <c r="D442" s="45" t="n"/>
      <c r="E442" s="44" t="n"/>
      <c r="F442" s="44" t="n"/>
      <c r="G442" s="44" t="n"/>
      <c r="H442" s="45" t="n"/>
      <c r="I442" s="45" t="n"/>
      <c r="J442" s="45" t="n"/>
      <c r="K442" s="45" t="n"/>
      <c r="L442" s="45" t="n"/>
      <c r="M442" s="45" t="n"/>
      <c r="N442" s="45" t="n"/>
      <c r="O442" s="46" t="n"/>
      <c r="P442" s="45" t="n"/>
      <c r="Q442" s="45" t="n"/>
      <c r="R442" s="45" t="str">
        <f>IF(AND(A442="",B442=""),"",IF(A442="","Missing ID",IF(COUNTIF($A:$A,A442)&gt;1,"Duplicate ID",IF(B442="","Missing title",IF(C442="","Missing module",IF(J442="","Missing steps",IF(K442="","Missing expected result",IF(AND(F442=St_Failed,L442=""),"Add actual result","OK"))))))))</f>
        <v/>
      </c>
    </row>
    <row r="443" ht="32" customHeight="1">
      <c r="A443" s="44" t="n"/>
      <c r="B443" s="45" t="n"/>
      <c r="C443" s="45" t="n"/>
      <c r="D443" s="45" t="n"/>
      <c r="E443" s="44" t="n"/>
      <c r="F443" s="44" t="n"/>
      <c r="G443" s="44" t="n"/>
      <c r="H443" s="45" t="n"/>
      <c r="I443" s="45" t="n"/>
      <c r="J443" s="45" t="n"/>
      <c r="K443" s="45" t="n"/>
      <c r="L443" s="45" t="n"/>
      <c r="M443" s="45" t="n"/>
      <c r="N443" s="45" t="n"/>
      <c r="O443" s="46" t="n"/>
      <c r="P443" s="45" t="n"/>
      <c r="Q443" s="45" t="n"/>
      <c r="R443" s="45" t="str">
        <f>IF(AND(A443="",B443=""),"",IF(A443="","Missing ID",IF(COUNTIF($A:$A,A443)&gt;1,"Duplicate ID",IF(B443="","Missing title",IF(C443="","Missing module",IF(J443="","Missing steps",IF(K443="","Missing expected result",IF(AND(F443=St_Failed,L443=""),"Add actual result","OK"))))))))</f>
        <v/>
      </c>
    </row>
    <row r="444" ht="32" customHeight="1">
      <c r="A444" s="44" t="n"/>
      <c r="B444" s="45" t="n"/>
      <c r="C444" s="45" t="n"/>
      <c r="D444" s="45" t="n"/>
      <c r="E444" s="44" t="n"/>
      <c r="F444" s="44" t="n"/>
      <c r="G444" s="44" t="n"/>
      <c r="H444" s="45" t="n"/>
      <c r="I444" s="45" t="n"/>
      <c r="J444" s="45" t="n"/>
      <c r="K444" s="45" t="n"/>
      <c r="L444" s="45" t="n"/>
      <c r="M444" s="45" t="n"/>
      <c r="N444" s="45" t="n"/>
      <c r="O444" s="46" t="n"/>
      <c r="P444" s="45" t="n"/>
      <c r="Q444" s="45" t="n"/>
      <c r="R444" s="45" t="str">
        <f>IF(AND(A444="",B444=""),"",IF(A444="","Missing ID",IF(COUNTIF($A:$A,A444)&gt;1,"Duplicate ID",IF(B444="","Missing title",IF(C444="","Missing module",IF(J444="","Missing steps",IF(K444="","Missing expected result",IF(AND(F444=St_Failed,L444=""),"Add actual result","OK"))))))))</f>
        <v/>
      </c>
    </row>
    <row r="445" ht="32" customHeight="1">
      <c r="A445" s="44" t="n"/>
      <c r="B445" s="45" t="n"/>
      <c r="C445" s="45" t="n"/>
      <c r="D445" s="45" t="n"/>
      <c r="E445" s="44" t="n"/>
      <c r="F445" s="44" t="n"/>
      <c r="G445" s="44" t="n"/>
      <c r="H445" s="45" t="n"/>
      <c r="I445" s="45" t="n"/>
      <c r="J445" s="45" t="n"/>
      <c r="K445" s="45" t="n"/>
      <c r="L445" s="45" t="n"/>
      <c r="M445" s="45" t="n"/>
      <c r="N445" s="45" t="n"/>
      <c r="O445" s="46" t="n"/>
      <c r="P445" s="45" t="n"/>
      <c r="Q445" s="45" t="n"/>
      <c r="R445" s="45" t="str">
        <f>IF(AND(A445="",B445=""),"",IF(A445="","Missing ID",IF(COUNTIF($A:$A,A445)&gt;1,"Duplicate ID",IF(B445="","Missing title",IF(C445="","Missing module",IF(J445="","Missing steps",IF(K445="","Missing expected result",IF(AND(F445=St_Failed,L445=""),"Add actual result","OK"))))))))</f>
        <v/>
      </c>
    </row>
    <row r="446" ht="32" customHeight="1">
      <c r="A446" s="44" t="n"/>
      <c r="B446" s="45" t="n"/>
      <c r="C446" s="45" t="n"/>
      <c r="D446" s="45" t="n"/>
      <c r="E446" s="44" t="n"/>
      <c r="F446" s="44" t="n"/>
      <c r="G446" s="44" t="n"/>
      <c r="H446" s="45" t="n"/>
      <c r="I446" s="45" t="n"/>
      <c r="J446" s="45" t="n"/>
      <c r="K446" s="45" t="n"/>
      <c r="L446" s="45" t="n"/>
      <c r="M446" s="45" t="n"/>
      <c r="N446" s="45" t="n"/>
      <c r="O446" s="46" t="n"/>
      <c r="P446" s="45" t="n"/>
      <c r="Q446" s="45" t="n"/>
      <c r="R446" s="45" t="str">
        <f>IF(AND(A446="",B446=""),"",IF(A446="","Missing ID",IF(COUNTIF($A:$A,A446)&gt;1,"Duplicate ID",IF(B446="","Missing title",IF(C446="","Missing module",IF(J446="","Missing steps",IF(K446="","Missing expected result",IF(AND(F446=St_Failed,L446=""),"Add actual result","OK"))))))))</f>
        <v/>
      </c>
    </row>
    <row r="447" ht="32" customHeight="1">
      <c r="A447" s="44" t="n"/>
      <c r="B447" s="45" t="n"/>
      <c r="C447" s="45" t="n"/>
      <c r="D447" s="45" t="n"/>
      <c r="E447" s="44" t="n"/>
      <c r="F447" s="44" t="n"/>
      <c r="G447" s="44" t="n"/>
      <c r="H447" s="45" t="n"/>
      <c r="I447" s="45" t="n"/>
      <c r="J447" s="45" t="n"/>
      <c r="K447" s="45" t="n"/>
      <c r="L447" s="45" t="n"/>
      <c r="M447" s="45" t="n"/>
      <c r="N447" s="45" t="n"/>
      <c r="O447" s="46" t="n"/>
      <c r="P447" s="45" t="n"/>
      <c r="Q447" s="45" t="n"/>
      <c r="R447" s="45" t="str">
        <f>IF(AND(A447="",B447=""),"",IF(A447="","Missing ID",IF(COUNTIF($A:$A,A447)&gt;1,"Duplicate ID",IF(B447="","Missing title",IF(C447="","Missing module",IF(J447="","Missing steps",IF(K447="","Missing expected result",IF(AND(F447=St_Failed,L447=""),"Add actual result","OK"))))))))</f>
        <v/>
      </c>
    </row>
    <row r="448" ht="32" customHeight="1">
      <c r="A448" s="44" t="n"/>
      <c r="B448" s="45" t="n"/>
      <c r="C448" s="45" t="n"/>
      <c r="D448" s="45" t="n"/>
      <c r="E448" s="44" t="n"/>
      <c r="F448" s="44" t="n"/>
      <c r="G448" s="44" t="n"/>
      <c r="H448" s="45" t="n"/>
      <c r="I448" s="45" t="n"/>
      <c r="J448" s="45" t="n"/>
      <c r="K448" s="45" t="n"/>
      <c r="L448" s="45" t="n"/>
      <c r="M448" s="45" t="n"/>
      <c r="N448" s="45" t="n"/>
      <c r="O448" s="46" t="n"/>
      <c r="P448" s="45" t="n"/>
      <c r="Q448" s="45" t="n"/>
      <c r="R448" s="45" t="str">
        <f>IF(AND(A448="",B448=""),"",IF(A448="","Missing ID",IF(COUNTIF($A:$A,A448)&gt;1,"Duplicate ID",IF(B448="","Missing title",IF(C448="","Missing module",IF(J448="","Missing steps",IF(K448="","Missing expected result",IF(AND(F448=St_Failed,L448=""),"Add actual result","OK"))))))))</f>
        <v/>
      </c>
    </row>
    <row r="449" ht="32" customHeight="1">
      <c r="A449" s="44" t="n"/>
      <c r="B449" s="45" t="n"/>
      <c r="C449" s="45" t="n"/>
      <c r="D449" s="45" t="n"/>
      <c r="E449" s="44" t="n"/>
      <c r="F449" s="44" t="n"/>
      <c r="G449" s="44" t="n"/>
      <c r="H449" s="45" t="n"/>
      <c r="I449" s="45" t="n"/>
      <c r="J449" s="45" t="n"/>
      <c r="K449" s="45" t="n"/>
      <c r="L449" s="45" t="n"/>
      <c r="M449" s="45" t="n"/>
      <c r="N449" s="45" t="n"/>
      <c r="O449" s="46" t="n"/>
      <c r="P449" s="45" t="n"/>
      <c r="Q449" s="45" t="n"/>
      <c r="R449" s="45" t="str">
        <f>IF(AND(A449="",B449=""),"",IF(A449="","Missing ID",IF(COUNTIF($A:$A,A449)&gt;1,"Duplicate ID",IF(B449="","Missing title",IF(C449="","Missing module",IF(J449="","Missing steps",IF(K449="","Missing expected result",IF(AND(F449=St_Failed,L449=""),"Add actual result","OK"))))))))</f>
        <v/>
      </c>
    </row>
    <row r="450" ht="32" customHeight="1">
      <c r="A450" s="44" t="n"/>
      <c r="B450" s="45" t="n"/>
      <c r="C450" s="45" t="n"/>
      <c r="D450" s="45" t="n"/>
      <c r="E450" s="44" t="n"/>
      <c r="F450" s="44" t="n"/>
      <c r="G450" s="44" t="n"/>
      <c r="H450" s="45" t="n"/>
      <c r="I450" s="45" t="n"/>
      <c r="J450" s="45" t="n"/>
      <c r="K450" s="45" t="n"/>
      <c r="L450" s="45" t="n"/>
      <c r="M450" s="45" t="n"/>
      <c r="N450" s="45" t="n"/>
      <c r="O450" s="46" t="n"/>
      <c r="P450" s="45" t="n"/>
      <c r="Q450" s="45" t="n"/>
      <c r="R450" s="45" t="str">
        <f>IF(AND(A450="",B450=""),"",IF(A450="","Missing ID",IF(COUNTIF($A:$A,A450)&gt;1,"Duplicate ID",IF(B450="","Missing title",IF(C450="","Missing module",IF(J450="","Missing steps",IF(K450="","Missing expected result",IF(AND(F450=St_Failed,L450=""),"Add actual result","OK"))))))))</f>
        <v/>
      </c>
    </row>
    <row r="451" ht="32" customHeight="1">
      <c r="A451" s="44" t="n"/>
      <c r="B451" s="45" t="n"/>
      <c r="C451" s="45" t="n"/>
      <c r="D451" s="45" t="n"/>
      <c r="E451" s="44" t="n"/>
      <c r="F451" s="44" t="n"/>
      <c r="G451" s="44" t="n"/>
      <c r="H451" s="45" t="n"/>
      <c r="I451" s="45" t="n"/>
      <c r="J451" s="45" t="n"/>
      <c r="K451" s="45" t="n"/>
      <c r="L451" s="45" t="n"/>
      <c r="M451" s="45" t="n"/>
      <c r="N451" s="45" t="n"/>
      <c r="O451" s="46" t="n"/>
      <c r="P451" s="45" t="n"/>
      <c r="Q451" s="45" t="n"/>
      <c r="R451" s="45" t="str">
        <f>IF(AND(A451="",B451=""),"",IF(A451="","Missing ID",IF(COUNTIF($A:$A,A451)&gt;1,"Duplicate ID",IF(B451="","Missing title",IF(C451="","Missing module",IF(J451="","Missing steps",IF(K451="","Missing expected result",IF(AND(F451=St_Failed,L451=""),"Add actual result","OK"))))))))</f>
        <v/>
      </c>
    </row>
    <row r="452" ht="32" customHeight="1">
      <c r="A452" s="44" t="n"/>
      <c r="B452" s="45" t="n"/>
      <c r="C452" s="45" t="n"/>
      <c r="D452" s="45" t="n"/>
      <c r="E452" s="44" t="n"/>
      <c r="F452" s="44" t="n"/>
      <c r="G452" s="44" t="n"/>
      <c r="H452" s="45" t="n"/>
      <c r="I452" s="45" t="n"/>
      <c r="J452" s="45" t="n"/>
      <c r="K452" s="45" t="n"/>
      <c r="L452" s="45" t="n"/>
      <c r="M452" s="45" t="n"/>
      <c r="N452" s="45" t="n"/>
      <c r="O452" s="46" t="n"/>
      <c r="P452" s="45" t="n"/>
      <c r="Q452" s="45" t="n"/>
      <c r="R452" s="45" t="str">
        <f>IF(AND(A452="",B452=""),"",IF(A452="","Missing ID",IF(COUNTIF($A:$A,A452)&gt;1,"Duplicate ID",IF(B452="","Missing title",IF(C452="","Missing module",IF(J452="","Missing steps",IF(K452="","Missing expected result",IF(AND(F452=St_Failed,L452=""),"Add actual result","OK"))))))))</f>
        <v/>
      </c>
    </row>
    <row r="453" ht="32" customHeight="1">
      <c r="A453" s="44" t="n"/>
      <c r="B453" s="45" t="n"/>
      <c r="C453" s="45" t="n"/>
      <c r="D453" s="45" t="n"/>
      <c r="E453" s="44" t="n"/>
      <c r="F453" s="44" t="n"/>
      <c r="G453" s="44" t="n"/>
      <c r="H453" s="45" t="n"/>
      <c r="I453" s="45" t="n"/>
      <c r="J453" s="45" t="n"/>
      <c r="K453" s="45" t="n"/>
      <c r="L453" s="45" t="n"/>
      <c r="M453" s="45" t="n"/>
      <c r="N453" s="45" t="n"/>
      <c r="O453" s="46" t="n"/>
      <c r="P453" s="45" t="n"/>
      <c r="Q453" s="45" t="n"/>
      <c r="R453" s="45" t="str">
        <f>IF(AND(A453="",B453=""),"",IF(A453="","Missing ID",IF(COUNTIF($A:$A,A453)&gt;1,"Duplicate ID",IF(B453="","Missing title",IF(C453="","Missing module",IF(J453="","Missing steps",IF(K453="","Missing expected result",IF(AND(F453=St_Failed,L453=""),"Add actual result","OK"))))))))</f>
        <v/>
      </c>
    </row>
    <row r="454" ht="32" customHeight="1">
      <c r="A454" s="44" t="n"/>
      <c r="B454" s="45" t="n"/>
      <c r="C454" s="45" t="n"/>
      <c r="D454" s="45" t="n"/>
      <c r="E454" s="44" t="n"/>
      <c r="F454" s="44" t="n"/>
      <c r="G454" s="44" t="n"/>
      <c r="H454" s="45" t="n"/>
      <c r="I454" s="45" t="n"/>
      <c r="J454" s="45" t="n"/>
      <c r="K454" s="45" t="n"/>
      <c r="L454" s="45" t="n"/>
      <c r="M454" s="45" t="n"/>
      <c r="N454" s="45" t="n"/>
      <c r="O454" s="46" t="n"/>
      <c r="P454" s="45" t="n"/>
      <c r="Q454" s="45" t="n"/>
      <c r="R454" s="45" t="str">
        <f>IF(AND(A454="",B454=""),"",IF(A454="","Missing ID",IF(COUNTIF($A:$A,A454)&gt;1,"Duplicate ID",IF(B454="","Missing title",IF(C454="","Missing module",IF(J454="","Missing steps",IF(K454="","Missing expected result",IF(AND(F454=St_Failed,L454=""),"Add actual result","OK"))))))))</f>
        <v/>
      </c>
    </row>
    <row r="455" ht="32" customHeight="1">
      <c r="A455" s="44" t="n"/>
      <c r="B455" s="45" t="n"/>
      <c r="C455" s="45" t="n"/>
      <c r="D455" s="45" t="n"/>
      <c r="E455" s="44" t="n"/>
      <c r="F455" s="44" t="n"/>
      <c r="G455" s="44" t="n"/>
      <c r="H455" s="45" t="n"/>
      <c r="I455" s="45" t="n"/>
      <c r="J455" s="45" t="n"/>
      <c r="K455" s="45" t="n"/>
      <c r="L455" s="45" t="n"/>
      <c r="M455" s="45" t="n"/>
      <c r="N455" s="45" t="n"/>
      <c r="O455" s="46" t="n"/>
      <c r="P455" s="45" t="n"/>
      <c r="Q455" s="45" t="n"/>
      <c r="R455" s="45" t="str">
        <f>IF(AND(A455="",B455=""),"",IF(A455="","Missing ID",IF(COUNTIF($A:$A,A455)&gt;1,"Duplicate ID",IF(B455="","Missing title",IF(C455="","Missing module",IF(J455="","Missing steps",IF(K455="","Missing expected result",IF(AND(F455=St_Failed,L455=""),"Add actual result","OK"))))))))</f>
        <v/>
      </c>
    </row>
    <row r="456" ht="32" customHeight="1">
      <c r="A456" s="44" t="n"/>
      <c r="B456" s="45" t="n"/>
      <c r="C456" s="45" t="n"/>
      <c r="D456" s="45" t="n"/>
      <c r="E456" s="44" t="n"/>
      <c r="F456" s="44" t="n"/>
      <c r="G456" s="44" t="n"/>
      <c r="H456" s="45" t="n"/>
      <c r="I456" s="45" t="n"/>
      <c r="J456" s="45" t="n"/>
      <c r="K456" s="45" t="n"/>
      <c r="L456" s="45" t="n"/>
      <c r="M456" s="45" t="n"/>
      <c r="N456" s="45" t="n"/>
      <c r="O456" s="46" t="n"/>
      <c r="P456" s="45" t="n"/>
      <c r="Q456" s="45" t="n"/>
      <c r="R456" s="45" t="str">
        <f>IF(AND(A456="",B456=""),"",IF(A456="","Missing ID",IF(COUNTIF($A:$A,A456)&gt;1,"Duplicate ID",IF(B456="","Missing title",IF(C456="","Missing module",IF(J456="","Missing steps",IF(K456="","Missing expected result",IF(AND(F456=St_Failed,L456=""),"Add actual result","OK"))))))))</f>
        <v/>
      </c>
    </row>
    <row r="457" ht="32" customHeight="1">
      <c r="A457" s="44" t="n"/>
      <c r="B457" s="45" t="n"/>
      <c r="C457" s="45" t="n"/>
      <c r="D457" s="45" t="n"/>
      <c r="E457" s="44" t="n"/>
      <c r="F457" s="44" t="n"/>
      <c r="G457" s="44" t="n"/>
      <c r="H457" s="45" t="n"/>
      <c r="I457" s="45" t="n"/>
      <c r="J457" s="45" t="n"/>
      <c r="K457" s="45" t="n"/>
      <c r="L457" s="45" t="n"/>
      <c r="M457" s="45" t="n"/>
      <c r="N457" s="45" t="n"/>
      <c r="O457" s="46" t="n"/>
      <c r="P457" s="45" t="n"/>
      <c r="Q457" s="45" t="n"/>
      <c r="R457" s="45" t="str">
        <f>IF(AND(A457="",B457=""),"",IF(A457="","Missing ID",IF(COUNTIF($A:$A,A457)&gt;1,"Duplicate ID",IF(B457="","Missing title",IF(C457="","Missing module",IF(J457="","Missing steps",IF(K457="","Missing expected result",IF(AND(F457=St_Failed,L457=""),"Add actual result","OK"))))))))</f>
        <v/>
      </c>
    </row>
    <row r="458" ht="32" customHeight="1">
      <c r="A458" s="44" t="n"/>
      <c r="B458" s="45" t="n"/>
      <c r="C458" s="45" t="n"/>
      <c r="D458" s="45" t="n"/>
      <c r="E458" s="44" t="n"/>
      <c r="F458" s="44" t="n"/>
      <c r="G458" s="44" t="n"/>
      <c r="H458" s="45" t="n"/>
      <c r="I458" s="45" t="n"/>
      <c r="J458" s="45" t="n"/>
      <c r="K458" s="45" t="n"/>
      <c r="L458" s="45" t="n"/>
      <c r="M458" s="45" t="n"/>
      <c r="N458" s="45" t="n"/>
      <c r="O458" s="46" t="n"/>
      <c r="P458" s="45" t="n"/>
      <c r="Q458" s="45" t="n"/>
      <c r="R458" s="45" t="str">
        <f>IF(AND(A458="",B458=""),"",IF(A458="","Missing ID",IF(COUNTIF($A:$A,A458)&gt;1,"Duplicate ID",IF(B458="","Missing title",IF(C458="","Missing module",IF(J458="","Missing steps",IF(K458="","Missing expected result",IF(AND(F458=St_Failed,L458=""),"Add actual result","OK"))))))))</f>
        <v/>
      </c>
    </row>
    <row r="459" ht="32" customHeight="1">
      <c r="A459" s="44" t="n"/>
      <c r="B459" s="45" t="n"/>
      <c r="C459" s="45" t="n"/>
      <c r="D459" s="45" t="n"/>
      <c r="E459" s="44" t="n"/>
      <c r="F459" s="44" t="n"/>
      <c r="G459" s="44" t="n"/>
      <c r="H459" s="45" t="n"/>
      <c r="I459" s="45" t="n"/>
      <c r="J459" s="45" t="n"/>
      <c r="K459" s="45" t="n"/>
      <c r="L459" s="45" t="n"/>
      <c r="M459" s="45" t="n"/>
      <c r="N459" s="45" t="n"/>
      <c r="O459" s="46" t="n"/>
      <c r="P459" s="45" t="n"/>
      <c r="Q459" s="45" t="n"/>
      <c r="R459" s="45" t="str">
        <f>IF(AND(A459="",B459=""),"",IF(A459="","Missing ID",IF(COUNTIF($A:$A,A459)&gt;1,"Duplicate ID",IF(B459="","Missing title",IF(C459="","Missing module",IF(J459="","Missing steps",IF(K459="","Missing expected result",IF(AND(F459=St_Failed,L459=""),"Add actual result","OK"))))))))</f>
        <v/>
      </c>
    </row>
    <row r="460" ht="32" customHeight="1">
      <c r="A460" s="44" t="n"/>
      <c r="B460" s="45" t="n"/>
      <c r="C460" s="45" t="n"/>
      <c r="D460" s="45" t="n"/>
      <c r="E460" s="44" t="n"/>
      <c r="F460" s="44" t="n"/>
      <c r="G460" s="44" t="n"/>
      <c r="H460" s="45" t="n"/>
      <c r="I460" s="45" t="n"/>
      <c r="J460" s="45" t="n"/>
      <c r="K460" s="45" t="n"/>
      <c r="L460" s="45" t="n"/>
      <c r="M460" s="45" t="n"/>
      <c r="N460" s="45" t="n"/>
      <c r="O460" s="46" t="n"/>
      <c r="P460" s="45" t="n"/>
      <c r="Q460" s="45" t="n"/>
      <c r="R460" s="45" t="str">
        <f>IF(AND(A460="",B460=""),"",IF(A460="","Missing ID",IF(COUNTIF($A:$A,A460)&gt;1,"Duplicate ID",IF(B460="","Missing title",IF(C460="","Missing module",IF(J460="","Missing steps",IF(K460="","Missing expected result",IF(AND(F460=St_Failed,L460=""),"Add actual result","OK"))))))))</f>
        <v/>
      </c>
    </row>
    <row r="461" ht="32" customHeight="1">
      <c r="A461" s="44" t="n"/>
      <c r="B461" s="45" t="n"/>
      <c r="C461" s="45" t="n"/>
      <c r="D461" s="45" t="n"/>
      <c r="E461" s="44" t="n"/>
      <c r="F461" s="44" t="n"/>
      <c r="G461" s="44" t="n"/>
      <c r="H461" s="45" t="n"/>
      <c r="I461" s="45" t="n"/>
      <c r="J461" s="45" t="n"/>
      <c r="K461" s="45" t="n"/>
      <c r="L461" s="45" t="n"/>
      <c r="M461" s="45" t="n"/>
      <c r="N461" s="45" t="n"/>
      <c r="O461" s="46" t="n"/>
      <c r="P461" s="45" t="n"/>
      <c r="Q461" s="45" t="n"/>
      <c r="R461" s="45" t="str">
        <f>IF(AND(A461="",B461=""),"",IF(A461="","Missing ID",IF(COUNTIF($A:$A,A461)&gt;1,"Duplicate ID",IF(B461="","Missing title",IF(C461="","Missing module",IF(J461="","Missing steps",IF(K461="","Missing expected result",IF(AND(F461=St_Failed,L461=""),"Add actual result","OK"))))))))</f>
        <v/>
      </c>
    </row>
    <row r="462" ht="32" customHeight="1">
      <c r="A462" s="44" t="n"/>
      <c r="B462" s="45" t="n"/>
      <c r="C462" s="45" t="n"/>
      <c r="D462" s="45" t="n"/>
      <c r="E462" s="44" t="n"/>
      <c r="F462" s="44" t="n"/>
      <c r="G462" s="44" t="n"/>
      <c r="H462" s="45" t="n"/>
      <c r="I462" s="45" t="n"/>
      <c r="J462" s="45" t="n"/>
      <c r="K462" s="45" t="n"/>
      <c r="L462" s="45" t="n"/>
      <c r="M462" s="45" t="n"/>
      <c r="N462" s="45" t="n"/>
      <c r="O462" s="46" t="n"/>
      <c r="P462" s="45" t="n"/>
      <c r="Q462" s="45" t="n"/>
      <c r="R462" s="45" t="str">
        <f>IF(AND(A462="",B462=""),"",IF(A462="","Missing ID",IF(COUNTIF($A:$A,A462)&gt;1,"Duplicate ID",IF(B462="","Missing title",IF(C462="","Missing module",IF(J462="","Missing steps",IF(K462="","Missing expected result",IF(AND(F462=St_Failed,L462=""),"Add actual result","OK"))))))))</f>
        <v/>
      </c>
    </row>
    <row r="463" ht="32" customHeight="1">
      <c r="A463" s="44" t="n"/>
      <c r="B463" s="45" t="n"/>
      <c r="C463" s="45" t="n"/>
      <c r="D463" s="45" t="n"/>
      <c r="E463" s="44" t="n"/>
      <c r="F463" s="44" t="n"/>
      <c r="G463" s="44" t="n"/>
      <c r="H463" s="45" t="n"/>
      <c r="I463" s="45" t="n"/>
      <c r="J463" s="45" t="n"/>
      <c r="K463" s="45" t="n"/>
      <c r="L463" s="45" t="n"/>
      <c r="M463" s="45" t="n"/>
      <c r="N463" s="45" t="n"/>
      <c r="O463" s="46" t="n"/>
      <c r="P463" s="45" t="n"/>
      <c r="Q463" s="45" t="n"/>
      <c r="R463" s="45" t="str">
        <f>IF(AND(A463="",B463=""),"",IF(A463="","Missing ID",IF(COUNTIF($A:$A,A463)&gt;1,"Duplicate ID",IF(B463="","Missing title",IF(C463="","Missing module",IF(J463="","Missing steps",IF(K463="","Missing expected result",IF(AND(F463=St_Failed,L463=""),"Add actual result","OK"))))))))</f>
        <v/>
      </c>
    </row>
    <row r="464" ht="32" customHeight="1">
      <c r="A464" s="44" t="n"/>
      <c r="B464" s="45" t="n"/>
      <c r="C464" s="45" t="n"/>
      <c r="D464" s="45" t="n"/>
      <c r="E464" s="44" t="n"/>
      <c r="F464" s="44" t="n"/>
      <c r="G464" s="44" t="n"/>
      <c r="H464" s="45" t="n"/>
      <c r="I464" s="45" t="n"/>
      <c r="J464" s="45" t="n"/>
      <c r="K464" s="45" t="n"/>
      <c r="L464" s="45" t="n"/>
      <c r="M464" s="45" t="n"/>
      <c r="N464" s="45" t="n"/>
      <c r="O464" s="46" t="n"/>
      <c r="P464" s="45" t="n"/>
      <c r="Q464" s="45" t="n"/>
      <c r="R464" s="45" t="str">
        <f>IF(AND(A464="",B464=""),"",IF(A464="","Missing ID",IF(COUNTIF($A:$A,A464)&gt;1,"Duplicate ID",IF(B464="","Missing title",IF(C464="","Missing module",IF(J464="","Missing steps",IF(K464="","Missing expected result",IF(AND(F464=St_Failed,L464=""),"Add actual result","OK"))))))))</f>
        <v/>
      </c>
    </row>
    <row r="465" ht="32" customHeight="1">
      <c r="A465" s="44" t="n"/>
      <c r="B465" s="45" t="n"/>
      <c r="C465" s="45" t="n"/>
      <c r="D465" s="45" t="n"/>
      <c r="E465" s="44" t="n"/>
      <c r="F465" s="44" t="n"/>
      <c r="G465" s="44" t="n"/>
      <c r="H465" s="45" t="n"/>
      <c r="I465" s="45" t="n"/>
      <c r="J465" s="45" t="n"/>
      <c r="K465" s="45" t="n"/>
      <c r="L465" s="45" t="n"/>
      <c r="M465" s="45" t="n"/>
      <c r="N465" s="45" t="n"/>
      <c r="O465" s="46" t="n"/>
      <c r="P465" s="45" t="n"/>
      <c r="Q465" s="45" t="n"/>
      <c r="R465" s="45" t="str">
        <f>IF(AND(A465="",B465=""),"",IF(A465="","Missing ID",IF(COUNTIF($A:$A,A465)&gt;1,"Duplicate ID",IF(B465="","Missing title",IF(C465="","Missing module",IF(J465="","Missing steps",IF(K465="","Missing expected result",IF(AND(F465=St_Failed,L465=""),"Add actual result","OK"))))))))</f>
        <v/>
      </c>
    </row>
    <row r="466" ht="32" customHeight="1">
      <c r="A466" s="44" t="n"/>
      <c r="B466" s="45" t="n"/>
      <c r="C466" s="45" t="n"/>
      <c r="D466" s="45" t="n"/>
      <c r="E466" s="44" t="n"/>
      <c r="F466" s="44" t="n"/>
      <c r="G466" s="44" t="n"/>
      <c r="H466" s="45" t="n"/>
      <c r="I466" s="45" t="n"/>
      <c r="J466" s="45" t="n"/>
      <c r="K466" s="45" t="n"/>
      <c r="L466" s="45" t="n"/>
      <c r="M466" s="45" t="n"/>
      <c r="N466" s="45" t="n"/>
      <c r="O466" s="46" t="n"/>
      <c r="P466" s="45" t="n"/>
      <c r="Q466" s="45" t="n"/>
      <c r="R466" s="45" t="str">
        <f>IF(AND(A466="",B466=""),"",IF(A466="","Missing ID",IF(COUNTIF($A:$A,A466)&gt;1,"Duplicate ID",IF(B466="","Missing title",IF(C466="","Missing module",IF(J466="","Missing steps",IF(K466="","Missing expected result",IF(AND(F466=St_Failed,L466=""),"Add actual result","OK"))))))))</f>
        <v/>
      </c>
    </row>
    <row r="467" ht="32" customHeight="1">
      <c r="A467" s="44" t="n"/>
      <c r="B467" s="45" t="n"/>
      <c r="C467" s="45" t="n"/>
      <c r="D467" s="45" t="n"/>
      <c r="E467" s="44" t="n"/>
      <c r="F467" s="44" t="n"/>
      <c r="G467" s="44" t="n"/>
      <c r="H467" s="45" t="n"/>
      <c r="I467" s="45" t="n"/>
      <c r="J467" s="45" t="n"/>
      <c r="K467" s="45" t="n"/>
      <c r="L467" s="45" t="n"/>
      <c r="M467" s="45" t="n"/>
      <c r="N467" s="45" t="n"/>
      <c r="O467" s="46" t="n"/>
      <c r="P467" s="45" t="n"/>
      <c r="Q467" s="45" t="n"/>
      <c r="R467" s="45" t="str">
        <f>IF(AND(A467="",B467=""),"",IF(A467="","Missing ID",IF(COUNTIF($A:$A,A467)&gt;1,"Duplicate ID",IF(B467="","Missing title",IF(C467="","Missing module",IF(J467="","Missing steps",IF(K467="","Missing expected result",IF(AND(F467=St_Failed,L467=""),"Add actual result","OK"))))))))</f>
        <v/>
      </c>
    </row>
    <row r="468" ht="32" customHeight="1">
      <c r="A468" s="44" t="n"/>
      <c r="B468" s="45" t="n"/>
      <c r="C468" s="45" t="n"/>
      <c r="D468" s="45" t="n"/>
      <c r="E468" s="44" t="n"/>
      <c r="F468" s="44" t="n"/>
      <c r="G468" s="44" t="n"/>
      <c r="H468" s="45" t="n"/>
      <c r="I468" s="45" t="n"/>
      <c r="J468" s="45" t="n"/>
      <c r="K468" s="45" t="n"/>
      <c r="L468" s="45" t="n"/>
      <c r="M468" s="45" t="n"/>
      <c r="N468" s="45" t="n"/>
      <c r="O468" s="46" t="n"/>
      <c r="P468" s="45" t="n"/>
      <c r="Q468" s="45" t="n"/>
      <c r="R468" s="45" t="str">
        <f>IF(AND(A468="",B468=""),"",IF(A468="","Missing ID",IF(COUNTIF($A:$A,A468)&gt;1,"Duplicate ID",IF(B468="","Missing title",IF(C468="","Missing module",IF(J468="","Missing steps",IF(K468="","Missing expected result",IF(AND(F468=St_Failed,L468=""),"Add actual result","OK"))))))))</f>
        <v/>
      </c>
    </row>
    <row r="469" ht="32" customHeight="1">
      <c r="A469" s="44" t="n"/>
      <c r="B469" s="45" t="n"/>
      <c r="C469" s="45" t="n"/>
      <c r="D469" s="45" t="n"/>
      <c r="E469" s="44" t="n"/>
      <c r="F469" s="44" t="n"/>
      <c r="G469" s="44" t="n"/>
      <c r="H469" s="45" t="n"/>
      <c r="I469" s="45" t="n"/>
      <c r="J469" s="45" t="n"/>
      <c r="K469" s="45" t="n"/>
      <c r="L469" s="45" t="n"/>
      <c r="M469" s="45" t="n"/>
      <c r="N469" s="45" t="n"/>
      <c r="O469" s="46" t="n"/>
      <c r="P469" s="45" t="n"/>
      <c r="Q469" s="45" t="n"/>
      <c r="R469" s="45" t="str">
        <f>IF(AND(A469="",B469=""),"",IF(A469="","Missing ID",IF(COUNTIF($A:$A,A469)&gt;1,"Duplicate ID",IF(B469="","Missing title",IF(C469="","Missing module",IF(J469="","Missing steps",IF(K469="","Missing expected result",IF(AND(F469=St_Failed,L469=""),"Add actual result","OK"))))))))</f>
        <v/>
      </c>
    </row>
    <row r="470" ht="32" customHeight="1">
      <c r="A470" s="44" t="n"/>
      <c r="B470" s="45" t="n"/>
      <c r="C470" s="45" t="n"/>
      <c r="D470" s="45" t="n"/>
      <c r="E470" s="44" t="n"/>
      <c r="F470" s="44" t="n"/>
      <c r="G470" s="44" t="n"/>
      <c r="H470" s="45" t="n"/>
      <c r="I470" s="45" t="n"/>
      <c r="J470" s="45" t="n"/>
      <c r="K470" s="45" t="n"/>
      <c r="L470" s="45" t="n"/>
      <c r="M470" s="45" t="n"/>
      <c r="N470" s="45" t="n"/>
      <c r="O470" s="46" t="n"/>
      <c r="P470" s="45" t="n"/>
      <c r="Q470" s="45" t="n"/>
      <c r="R470" s="45" t="str">
        <f>IF(AND(A470="",B470=""),"",IF(A470="","Missing ID",IF(COUNTIF($A:$A,A470)&gt;1,"Duplicate ID",IF(B470="","Missing title",IF(C470="","Missing module",IF(J470="","Missing steps",IF(K470="","Missing expected result",IF(AND(F470=St_Failed,L470=""),"Add actual result","OK"))))))))</f>
        <v/>
      </c>
    </row>
    <row r="471" ht="32" customHeight="1">
      <c r="A471" s="44" t="n"/>
      <c r="B471" s="45" t="n"/>
      <c r="C471" s="45" t="n"/>
      <c r="D471" s="45" t="n"/>
      <c r="E471" s="44" t="n"/>
      <c r="F471" s="44" t="n"/>
      <c r="G471" s="44" t="n"/>
      <c r="H471" s="45" t="n"/>
      <c r="I471" s="45" t="n"/>
      <c r="J471" s="45" t="n"/>
      <c r="K471" s="45" t="n"/>
      <c r="L471" s="45" t="n"/>
      <c r="M471" s="45" t="n"/>
      <c r="N471" s="45" t="n"/>
      <c r="O471" s="46" t="n"/>
      <c r="P471" s="45" t="n"/>
      <c r="Q471" s="45" t="n"/>
      <c r="R471" s="45" t="str">
        <f>IF(AND(A471="",B471=""),"",IF(A471="","Missing ID",IF(COUNTIF($A:$A,A471)&gt;1,"Duplicate ID",IF(B471="","Missing title",IF(C471="","Missing module",IF(J471="","Missing steps",IF(K471="","Missing expected result",IF(AND(F471=St_Failed,L471=""),"Add actual result","OK"))))))))</f>
        <v/>
      </c>
    </row>
    <row r="472" ht="32" customHeight="1">
      <c r="A472" s="44" t="n"/>
      <c r="B472" s="45" t="n"/>
      <c r="C472" s="45" t="n"/>
      <c r="D472" s="45" t="n"/>
      <c r="E472" s="44" t="n"/>
      <c r="F472" s="44" t="n"/>
      <c r="G472" s="44" t="n"/>
      <c r="H472" s="45" t="n"/>
      <c r="I472" s="45" t="n"/>
      <c r="J472" s="45" t="n"/>
      <c r="K472" s="45" t="n"/>
      <c r="L472" s="45" t="n"/>
      <c r="M472" s="45" t="n"/>
      <c r="N472" s="45" t="n"/>
      <c r="O472" s="46" t="n"/>
      <c r="P472" s="45" t="n"/>
      <c r="Q472" s="45" t="n"/>
      <c r="R472" s="45" t="str">
        <f>IF(AND(A472="",B472=""),"",IF(A472="","Missing ID",IF(COUNTIF($A:$A,A472)&gt;1,"Duplicate ID",IF(B472="","Missing title",IF(C472="","Missing module",IF(J472="","Missing steps",IF(K472="","Missing expected result",IF(AND(F472=St_Failed,L472=""),"Add actual result","OK"))))))))</f>
        <v/>
      </c>
    </row>
    <row r="473" ht="32" customHeight="1">
      <c r="A473" s="44" t="n"/>
      <c r="B473" s="45" t="n"/>
      <c r="C473" s="45" t="n"/>
      <c r="D473" s="45" t="n"/>
      <c r="E473" s="44" t="n"/>
      <c r="F473" s="44" t="n"/>
      <c r="G473" s="44" t="n"/>
      <c r="H473" s="45" t="n"/>
      <c r="I473" s="45" t="n"/>
      <c r="J473" s="45" t="n"/>
      <c r="K473" s="45" t="n"/>
      <c r="L473" s="45" t="n"/>
      <c r="M473" s="45" t="n"/>
      <c r="N473" s="45" t="n"/>
      <c r="O473" s="46" t="n"/>
      <c r="P473" s="45" t="n"/>
      <c r="Q473" s="45" t="n"/>
      <c r="R473" s="45" t="str">
        <f>IF(AND(A473="",B473=""),"",IF(A473="","Missing ID",IF(COUNTIF($A:$A,A473)&gt;1,"Duplicate ID",IF(B473="","Missing title",IF(C473="","Missing module",IF(J473="","Missing steps",IF(K473="","Missing expected result",IF(AND(F473=St_Failed,L473=""),"Add actual result","OK"))))))))</f>
        <v/>
      </c>
    </row>
    <row r="474" ht="32" customHeight="1">
      <c r="A474" s="44" t="n"/>
      <c r="B474" s="45" t="n"/>
      <c r="C474" s="45" t="n"/>
      <c r="D474" s="45" t="n"/>
      <c r="E474" s="44" t="n"/>
      <c r="F474" s="44" t="n"/>
      <c r="G474" s="44" t="n"/>
      <c r="H474" s="45" t="n"/>
      <c r="I474" s="45" t="n"/>
      <c r="J474" s="45" t="n"/>
      <c r="K474" s="45" t="n"/>
      <c r="L474" s="45" t="n"/>
      <c r="M474" s="45" t="n"/>
      <c r="N474" s="45" t="n"/>
      <c r="O474" s="46" t="n"/>
      <c r="P474" s="45" t="n"/>
      <c r="Q474" s="45" t="n"/>
      <c r="R474" s="45" t="str">
        <f>IF(AND(A474="",B474=""),"",IF(A474="","Missing ID",IF(COUNTIF($A:$A,A474)&gt;1,"Duplicate ID",IF(B474="","Missing title",IF(C474="","Missing module",IF(J474="","Missing steps",IF(K474="","Missing expected result",IF(AND(F474=St_Failed,L474=""),"Add actual result","OK"))))))))</f>
        <v/>
      </c>
    </row>
    <row r="475" ht="32" customHeight="1">
      <c r="A475" s="44" t="n"/>
      <c r="B475" s="45" t="n"/>
      <c r="C475" s="45" t="n"/>
      <c r="D475" s="45" t="n"/>
      <c r="E475" s="44" t="n"/>
      <c r="F475" s="44" t="n"/>
      <c r="G475" s="44" t="n"/>
      <c r="H475" s="45" t="n"/>
      <c r="I475" s="45" t="n"/>
      <c r="J475" s="45" t="n"/>
      <c r="K475" s="45" t="n"/>
      <c r="L475" s="45" t="n"/>
      <c r="M475" s="45" t="n"/>
      <c r="N475" s="45" t="n"/>
      <c r="O475" s="46" t="n"/>
      <c r="P475" s="45" t="n"/>
      <c r="Q475" s="45" t="n"/>
      <c r="R475" s="45" t="str">
        <f>IF(AND(A475="",B475=""),"",IF(A475="","Missing ID",IF(COUNTIF($A:$A,A475)&gt;1,"Duplicate ID",IF(B475="","Missing title",IF(C475="","Missing module",IF(J475="","Missing steps",IF(K475="","Missing expected result",IF(AND(F475=St_Failed,L475=""),"Add actual result","OK"))))))))</f>
        <v/>
      </c>
    </row>
    <row r="476" ht="32" customHeight="1">
      <c r="A476" s="44" t="n"/>
      <c r="B476" s="45" t="n"/>
      <c r="C476" s="45" t="n"/>
      <c r="D476" s="45" t="n"/>
      <c r="E476" s="44" t="n"/>
      <c r="F476" s="44" t="n"/>
      <c r="G476" s="44" t="n"/>
      <c r="H476" s="45" t="n"/>
      <c r="I476" s="45" t="n"/>
      <c r="J476" s="45" t="n"/>
      <c r="K476" s="45" t="n"/>
      <c r="L476" s="45" t="n"/>
      <c r="M476" s="45" t="n"/>
      <c r="N476" s="45" t="n"/>
      <c r="O476" s="46" t="n"/>
      <c r="P476" s="45" t="n"/>
      <c r="Q476" s="45" t="n"/>
      <c r="R476" s="45" t="str">
        <f>IF(AND(A476="",B476=""),"",IF(A476="","Missing ID",IF(COUNTIF($A:$A,A476)&gt;1,"Duplicate ID",IF(B476="","Missing title",IF(C476="","Missing module",IF(J476="","Missing steps",IF(K476="","Missing expected result",IF(AND(F476=St_Failed,L476=""),"Add actual result","OK"))))))))</f>
        <v/>
      </c>
    </row>
    <row r="477" ht="32" customHeight="1">
      <c r="A477" s="44" t="n"/>
      <c r="B477" s="45" t="n"/>
      <c r="C477" s="45" t="n"/>
      <c r="D477" s="45" t="n"/>
      <c r="E477" s="44" t="n"/>
      <c r="F477" s="44" t="n"/>
      <c r="G477" s="44" t="n"/>
      <c r="H477" s="45" t="n"/>
      <c r="I477" s="45" t="n"/>
      <c r="J477" s="45" t="n"/>
      <c r="K477" s="45" t="n"/>
      <c r="L477" s="45" t="n"/>
      <c r="M477" s="45" t="n"/>
      <c r="N477" s="45" t="n"/>
      <c r="O477" s="46" t="n"/>
      <c r="P477" s="45" t="n"/>
      <c r="Q477" s="45" t="n"/>
      <c r="R477" s="45" t="str">
        <f>IF(AND(A477="",B477=""),"",IF(A477="","Missing ID",IF(COUNTIF($A:$A,A477)&gt;1,"Duplicate ID",IF(B477="","Missing title",IF(C477="","Missing module",IF(J477="","Missing steps",IF(K477="","Missing expected result",IF(AND(F477=St_Failed,L477=""),"Add actual result","OK"))))))))</f>
        <v/>
      </c>
    </row>
    <row r="478" ht="32" customHeight="1">
      <c r="A478" s="44" t="n"/>
      <c r="B478" s="45" t="n"/>
      <c r="C478" s="45" t="n"/>
      <c r="D478" s="45" t="n"/>
      <c r="E478" s="44" t="n"/>
      <c r="F478" s="44" t="n"/>
      <c r="G478" s="44" t="n"/>
      <c r="H478" s="45" t="n"/>
      <c r="I478" s="45" t="n"/>
      <c r="J478" s="45" t="n"/>
      <c r="K478" s="45" t="n"/>
      <c r="L478" s="45" t="n"/>
      <c r="M478" s="45" t="n"/>
      <c r="N478" s="45" t="n"/>
      <c r="O478" s="46" t="n"/>
      <c r="P478" s="45" t="n"/>
      <c r="Q478" s="45" t="n"/>
      <c r="R478" s="45" t="str">
        <f>IF(AND(A478="",B478=""),"",IF(A478="","Missing ID",IF(COUNTIF($A:$A,A478)&gt;1,"Duplicate ID",IF(B478="","Missing title",IF(C478="","Missing module",IF(J478="","Missing steps",IF(K478="","Missing expected result",IF(AND(F478=St_Failed,L478=""),"Add actual result","OK"))))))))</f>
        <v/>
      </c>
    </row>
    <row r="479" ht="32" customHeight="1">
      <c r="A479" s="44" t="n"/>
      <c r="B479" s="45" t="n"/>
      <c r="C479" s="45" t="n"/>
      <c r="D479" s="45" t="n"/>
      <c r="E479" s="44" t="n"/>
      <c r="F479" s="44" t="n"/>
      <c r="G479" s="44" t="n"/>
      <c r="H479" s="45" t="n"/>
      <c r="I479" s="45" t="n"/>
      <c r="J479" s="45" t="n"/>
      <c r="K479" s="45" t="n"/>
      <c r="L479" s="45" t="n"/>
      <c r="M479" s="45" t="n"/>
      <c r="N479" s="45" t="n"/>
      <c r="O479" s="46" t="n"/>
      <c r="P479" s="45" t="n"/>
      <c r="Q479" s="45" t="n"/>
      <c r="R479" s="45" t="str">
        <f>IF(AND(A479="",B479=""),"",IF(A479="","Missing ID",IF(COUNTIF($A:$A,A479)&gt;1,"Duplicate ID",IF(B479="","Missing title",IF(C479="","Missing module",IF(J479="","Missing steps",IF(K479="","Missing expected result",IF(AND(F479=St_Failed,L479=""),"Add actual result","OK"))))))))</f>
        <v/>
      </c>
    </row>
    <row r="480" ht="32" customHeight="1">
      <c r="A480" s="44" t="n"/>
      <c r="B480" s="45" t="n"/>
      <c r="C480" s="45" t="n"/>
      <c r="D480" s="45" t="n"/>
      <c r="E480" s="44" t="n"/>
      <c r="F480" s="44" t="n"/>
      <c r="G480" s="44" t="n"/>
      <c r="H480" s="45" t="n"/>
      <c r="I480" s="45" t="n"/>
      <c r="J480" s="45" t="n"/>
      <c r="K480" s="45" t="n"/>
      <c r="L480" s="45" t="n"/>
      <c r="M480" s="45" t="n"/>
      <c r="N480" s="45" t="n"/>
      <c r="O480" s="46" t="n"/>
      <c r="P480" s="45" t="n"/>
      <c r="Q480" s="45" t="n"/>
      <c r="R480" s="45" t="str">
        <f>IF(AND(A480="",B480=""),"",IF(A480="","Missing ID",IF(COUNTIF($A:$A,A480)&gt;1,"Duplicate ID",IF(B480="","Missing title",IF(C480="","Missing module",IF(J480="","Missing steps",IF(K480="","Missing expected result",IF(AND(F480=St_Failed,L480=""),"Add actual result","OK"))))))))</f>
        <v/>
      </c>
    </row>
    <row r="481" ht="32" customHeight="1">
      <c r="A481" s="44" t="n"/>
      <c r="B481" s="45" t="n"/>
      <c r="C481" s="45" t="n"/>
      <c r="D481" s="45" t="n"/>
      <c r="E481" s="44" t="n"/>
      <c r="F481" s="44" t="n"/>
      <c r="G481" s="44" t="n"/>
      <c r="H481" s="45" t="n"/>
      <c r="I481" s="45" t="n"/>
      <c r="J481" s="45" t="n"/>
      <c r="K481" s="45" t="n"/>
      <c r="L481" s="45" t="n"/>
      <c r="M481" s="45" t="n"/>
      <c r="N481" s="45" t="n"/>
      <c r="O481" s="46" t="n"/>
      <c r="P481" s="45" t="n"/>
      <c r="Q481" s="45" t="n"/>
      <c r="R481" s="45" t="str">
        <f>IF(AND(A481="",B481=""),"",IF(A481="","Missing ID",IF(COUNTIF($A:$A,A481)&gt;1,"Duplicate ID",IF(B481="","Missing title",IF(C481="","Missing module",IF(J481="","Missing steps",IF(K481="","Missing expected result",IF(AND(F481=St_Failed,L481=""),"Add actual result","OK"))))))))</f>
        <v/>
      </c>
    </row>
    <row r="482" ht="32" customHeight="1">
      <c r="A482" s="44" t="n"/>
      <c r="B482" s="45" t="n"/>
      <c r="C482" s="45" t="n"/>
      <c r="D482" s="45" t="n"/>
      <c r="E482" s="44" t="n"/>
      <c r="F482" s="44" t="n"/>
      <c r="G482" s="44" t="n"/>
      <c r="H482" s="45" t="n"/>
      <c r="I482" s="45" t="n"/>
      <c r="J482" s="45" t="n"/>
      <c r="K482" s="45" t="n"/>
      <c r="L482" s="45" t="n"/>
      <c r="M482" s="45" t="n"/>
      <c r="N482" s="45" t="n"/>
      <c r="O482" s="46" t="n"/>
      <c r="P482" s="45" t="n"/>
      <c r="Q482" s="45" t="n"/>
      <c r="R482" s="45" t="str">
        <f>IF(AND(A482="",B482=""),"",IF(A482="","Missing ID",IF(COUNTIF($A:$A,A482)&gt;1,"Duplicate ID",IF(B482="","Missing title",IF(C482="","Missing module",IF(J482="","Missing steps",IF(K482="","Missing expected result",IF(AND(F482=St_Failed,L482=""),"Add actual result","OK"))))))))</f>
        <v/>
      </c>
    </row>
    <row r="483" ht="32" customHeight="1">
      <c r="A483" s="44" t="n"/>
      <c r="B483" s="45" t="n"/>
      <c r="C483" s="45" t="n"/>
      <c r="D483" s="45" t="n"/>
      <c r="E483" s="44" t="n"/>
      <c r="F483" s="44" t="n"/>
      <c r="G483" s="44" t="n"/>
      <c r="H483" s="45" t="n"/>
      <c r="I483" s="45" t="n"/>
      <c r="J483" s="45" t="n"/>
      <c r="K483" s="45" t="n"/>
      <c r="L483" s="45" t="n"/>
      <c r="M483" s="45" t="n"/>
      <c r="N483" s="45" t="n"/>
      <c r="O483" s="46" t="n"/>
      <c r="P483" s="45" t="n"/>
      <c r="Q483" s="45" t="n"/>
      <c r="R483" s="45" t="str">
        <f>IF(AND(A483="",B483=""),"",IF(A483="","Missing ID",IF(COUNTIF($A:$A,A483)&gt;1,"Duplicate ID",IF(B483="","Missing title",IF(C483="","Missing module",IF(J483="","Missing steps",IF(K483="","Missing expected result",IF(AND(F483=St_Failed,L483=""),"Add actual result","OK"))))))))</f>
        <v/>
      </c>
    </row>
    <row r="484" ht="32" customHeight="1">
      <c r="A484" s="44" t="n"/>
      <c r="B484" s="45" t="n"/>
      <c r="C484" s="45" t="n"/>
      <c r="D484" s="45" t="n"/>
      <c r="E484" s="44" t="n"/>
      <c r="F484" s="44" t="n"/>
      <c r="G484" s="44" t="n"/>
      <c r="H484" s="45" t="n"/>
      <c r="I484" s="45" t="n"/>
      <c r="J484" s="45" t="n"/>
      <c r="K484" s="45" t="n"/>
      <c r="L484" s="45" t="n"/>
      <c r="M484" s="45" t="n"/>
      <c r="N484" s="45" t="n"/>
      <c r="O484" s="46" t="n"/>
      <c r="P484" s="45" t="n"/>
      <c r="Q484" s="45" t="n"/>
      <c r="R484" s="45" t="str">
        <f>IF(AND(A484="",B484=""),"",IF(A484="","Missing ID",IF(COUNTIF($A:$A,A484)&gt;1,"Duplicate ID",IF(B484="","Missing title",IF(C484="","Missing module",IF(J484="","Missing steps",IF(K484="","Missing expected result",IF(AND(F484=St_Failed,L484=""),"Add actual result","OK"))))))))</f>
        <v/>
      </c>
    </row>
    <row r="485" ht="32" customHeight="1">
      <c r="A485" s="44" t="n"/>
      <c r="B485" s="45" t="n"/>
      <c r="C485" s="45" t="n"/>
      <c r="D485" s="45" t="n"/>
      <c r="E485" s="44" t="n"/>
      <c r="F485" s="44" t="n"/>
      <c r="G485" s="44" t="n"/>
      <c r="H485" s="45" t="n"/>
      <c r="I485" s="45" t="n"/>
      <c r="J485" s="45" t="n"/>
      <c r="K485" s="45" t="n"/>
      <c r="L485" s="45" t="n"/>
      <c r="M485" s="45" t="n"/>
      <c r="N485" s="45" t="n"/>
      <c r="O485" s="46" t="n"/>
      <c r="P485" s="45" t="n"/>
      <c r="Q485" s="45" t="n"/>
      <c r="R485" s="45" t="str">
        <f>IF(AND(A485="",B485=""),"",IF(A485="","Missing ID",IF(COUNTIF($A:$A,A485)&gt;1,"Duplicate ID",IF(B485="","Missing title",IF(C485="","Missing module",IF(J485="","Missing steps",IF(K485="","Missing expected result",IF(AND(F485=St_Failed,L485=""),"Add actual result","OK"))))))))</f>
        <v/>
      </c>
    </row>
    <row r="486" ht="32" customHeight="1">
      <c r="A486" s="44" t="n"/>
      <c r="B486" s="45" t="n"/>
      <c r="C486" s="45" t="n"/>
      <c r="D486" s="45" t="n"/>
      <c r="E486" s="44" t="n"/>
      <c r="F486" s="44" t="n"/>
      <c r="G486" s="44" t="n"/>
      <c r="H486" s="45" t="n"/>
      <c r="I486" s="45" t="n"/>
      <c r="J486" s="45" t="n"/>
      <c r="K486" s="45" t="n"/>
      <c r="L486" s="45" t="n"/>
      <c r="M486" s="45" t="n"/>
      <c r="N486" s="45" t="n"/>
      <c r="O486" s="46" t="n"/>
      <c r="P486" s="45" t="n"/>
      <c r="Q486" s="45" t="n"/>
      <c r="R486" s="45" t="str">
        <f>IF(AND(A486="",B486=""),"",IF(A486="","Missing ID",IF(COUNTIF($A:$A,A486)&gt;1,"Duplicate ID",IF(B486="","Missing title",IF(C486="","Missing module",IF(J486="","Missing steps",IF(K486="","Missing expected result",IF(AND(F486=St_Failed,L486=""),"Add actual result","OK"))))))))</f>
        <v/>
      </c>
    </row>
    <row r="487" ht="32" customHeight="1">
      <c r="A487" s="44" t="n"/>
      <c r="B487" s="45" t="n"/>
      <c r="C487" s="45" t="n"/>
      <c r="D487" s="45" t="n"/>
      <c r="E487" s="44" t="n"/>
      <c r="F487" s="44" t="n"/>
      <c r="G487" s="44" t="n"/>
      <c r="H487" s="45" t="n"/>
      <c r="I487" s="45" t="n"/>
      <c r="J487" s="45" t="n"/>
      <c r="K487" s="45" t="n"/>
      <c r="L487" s="45" t="n"/>
      <c r="M487" s="45" t="n"/>
      <c r="N487" s="45" t="n"/>
      <c r="O487" s="46" t="n"/>
      <c r="P487" s="45" t="n"/>
      <c r="Q487" s="45" t="n"/>
      <c r="R487" s="45" t="str">
        <f>IF(AND(A487="",B487=""),"",IF(A487="","Missing ID",IF(COUNTIF($A:$A,A487)&gt;1,"Duplicate ID",IF(B487="","Missing title",IF(C487="","Missing module",IF(J487="","Missing steps",IF(K487="","Missing expected result",IF(AND(F487=St_Failed,L487=""),"Add actual result","OK"))))))))</f>
        <v/>
      </c>
    </row>
    <row r="488" ht="32" customHeight="1">
      <c r="A488" s="44" t="n"/>
      <c r="B488" s="45" t="n"/>
      <c r="C488" s="45" t="n"/>
      <c r="D488" s="45" t="n"/>
      <c r="E488" s="44" t="n"/>
      <c r="F488" s="44" t="n"/>
      <c r="G488" s="44" t="n"/>
      <c r="H488" s="45" t="n"/>
      <c r="I488" s="45" t="n"/>
      <c r="J488" s="45" t="n"/>
      <c r="K488" s="45" t="n"/>
      <c r="L488" s="45" t="n"/>
      <c r="M488" s="45" t="n"/>
      <c r="N488" s="45" t="n"/>
      <c r="O488" s="46" t="n"/>
      <c r="P488" s="45" t="n"/>
      <c r="Q488" s="45" t="n"/>
      <c r="R488" s="45" t="str">
        <f>IF(AND(A488="",B488=""),"",IF(A488="","Missing ID",IF(COUNTIF($A:$A,A488)&gt;1,"Duplicate ID",IF(B488="","Missing title",IF(C488="","Missing module",IF(J488="","Missing steps",IF(K488="","Missing expected result",IF(AND(F488=St_Failed,L488=""),"Add actual result","OK"))))))))</f>
        <v/>
      </c>
    </row>
    <row r="489" ht="32" customHeight="1">
      <c r="A489" s="44" t="n"/>
      <c r="B489" s="45" t="n"/>
      <c r="C489" s="45" t="n"/>
      <c r="D489" s="45" t="n"/>
      <c r="E489" s="44" t="n"/>
      <c r="F489" s="44" t="n"/>
      <c r="G489" s="44" t="n"/>
      <c r="H489" s="45" t="n"/>
      <c r="I489" s="45" t="n"/>
      <c r="J489" s="45" t="n"/>
      <c r="K489" s="45" t="n"/>
      <c r="L489" s="45" t="n"/>
      <c r="M489" s="45" t="n"/>
      <c r="N489" s="45" t="n"/>
      <c r="O489" s="46" t="n"/>
      <c r="P489" s="45" t="n"/>
      <c r="Q489" s="45" t="n"/>
      <c r="R489" s="45" t="str">
        <f>IF(AND(A489="",B489=""),"",IF(A489="","Missing ID",IF(COUNTIF($A:$A,A489)&gt;1,"Duplicate ID",IF(B489="","Missing title",IF(C489="","Missing module",IF(J489="","Missing steps",IF(K489="","Missing expected result",IF(AND(F489=St_Failed,L489=""),"Add actual result","OK"))))))))</f>
        <v/>
      </c>
    </row>
    <row r="490" ht="32" customHeight="1">
      <c r="A490" s="44" t="n"/>
      <c r="B490" s="45" t="n"/>
      <c r="C490" s="45" t="n"/>
      <c r="D490" s="45" t="n"/>
      <c r="E490" s="44" t="n"/>
      <c r="F490" s="44" t="n"/>
      <c r="G490" s="44" t="n"/>
      <c r="H490" s="45" t="n"/>
      <c r="I490" s="45" t="n"/>
      <c r="J490" s="45" t="n"/>
      <c r="K490" s="45" t="n"/>
      <c r="L490" s="45" t="n"/>
      <c r="M490" s="45" t="n"/>
      <c r="N490" s="45" t="n"/>
      <c r="O490" s="46" t="n"/>
      <c r="P490" s="45" t="n"/>
      <c r="Q490" s="45" t="n"/>
      <c r="R490" s="45" t="str">
        <f>IF(AND(A490="",B490=""),"",IF(A490="","Missing ID",IF(COUNTIF($A:$A,A490)&gt;1,"Duplicate ID",IF(B490="","Missing title",IF(C490="","Missing module",IF(J490="","Missing steps",IF(K490="","Missing expected result",IF(AND(F490=St_Failed,L490=""),"Add actual result","OK"))))))))</f>
        <v/>
      </c>
    </row>
    <row r="491" ht="32" customHeight="1">
      <c r="A491" s="44" t="n"/>
      <c r="B491" s="45" t="n"/>
      <c r="C491" s="45" t="n"/>
      <c r="D491" s="45" t="n"/>
      <c r="E491" s="44" t="n"/>
      <c r="F491" s="44" t="n"/>
      <c r="G491" s="44" t="n"/>
      <c r="H491" s="45" t="n"/>
      <c r="I491" s="45" t="n"/>
      <c r="J491" s="45" t="n"/>
      <c r="K491" s="45" t="n"/>
      <c r="L491" s="45" t="n"/>
      <c r="M491" s="45" t="n"/>
      <c r="N491" s="45" t="n"/>
      <c r="O491" s="46" t="n"/>
      <c r="P491" s="45" t="n"/>
      <c r="Q491" s="45" t="n"/>
      <c r="R491" s="45" t="str">
        <f>IF(AND(A491="",B491=""),"",IF(A491="","Missing ID",IF(COUNTIF($A:$A,A491)&gt;1,"Duplicate ID",IF(B491="","Missing title",IF(C491="","Missing module",IF(J491="","Missing steps",IF(K491="","Missing expected result",IF(AND(F491=St_Failed,L491=""),"Add actual result","OK"))))))))</f>
        <v/>
      </c>
    </row>
    <row r="492" ht="32" customHeight="1">
      <c r="A492" s="44" t="n"/>
      <c r="B492" s="45" t="n"/>
      <c r="C492" s="45" t="n"/>
      <c r="D492" s="45" t="n"/>
      <c r="E492" s="44" t="n"/>
      <c r="F492" s="44" t="n"/>
      <c r="G492" s="44" t="n"/>
      <c r="H492" s="45" t="n"/>
      <c r="I492" s="45" t="n"/>
      <c r="J492" s="45" t="n"/>
      <c r="K492" s="45" t="n"/>
      <c r="L492" s="45" t="n"/>
      <c r="M492" s="45" t="n"/>
      <c r="N492" s="45" t="n"/>
      <c r="O492" s="46" t="n"/>
      <c r="P492" s="45" t="n"/>
      <c r="Q492" s="45" t="n"/>
      <c r="R492" s="45" t="str">
        <f>IF(AND(A492="",B492=""),"",IF(A492="","Missing ID",IF(COUNTIF($A:$A,A492)&gt;1,"Duplicate ID",IF(B492="","Missing title",IF(C492="","Missing module",IF(J492="","Missing steps",IF(K492="","Missing expected result",IF(AND(F492=St_Failed,L492=""),"Add actual result","OK"))))))))</f>
        <v/>
      </c>
    </row>
    <row r="493" ht="32" customHeight="1">
      <c r="A493" s="44" t="n"/>
      <c r="B493" s="45" t="n"/>
      <c r="C493" s="45" t="n"/>
      <c r="D493" s="45" t="n"/>
      <c r="E493" s="44" t="n"/>
      <c r="F493" s="44" t="n"/>
      <c r="G493" s="44" t="n"/>
      <c r="H493" s="45" t="n"/>
      <c r="I493" s="45" t="n"/>
      <c r="J493" s="45" t="n"/>
      <c r="K493" s="45" t="n"/>
      <c r="L493" s="45" t="n"/>
      <c r="M493" s="45" t="n"/>
      <c r="N493" s="45" t="n"/>
      <c r="O493" s="46" t="n"/>
      <c r="P493" s="45" t="n"/>
      <c r="Q493" s="45" t="n"/>
      <c r="R493" s="45" t="str">
        <f>IF(AND(A493="",B493=""),"",IF(A493="","Missing ID",IF(COUNTIF($A:$A,A493)&gt;1,"Duplicate ID",IF(B493="","Missing title",IF(C493="","Missing module",IF(J493="","Missing steps",IF(K493="","Missing expected result",IF(AND(F493=St_Failed,L493=""),"Add actual result","OK"))))))))</f>
        <v/>
      </c>
    </row>
    <row r="494" ht="32" customHeight="1">
      <c r="A494" s="44" t="n"/>
      <c r="B494" s="45" t="n"/>
      <c r="C494" s="45" t="n"/>
      <c r="D494" s="45" t="n"/>
      <c r="E494" s="44" t="n"/>
      <c r="F494" s="44" t="n"/>
      <c r="G494" s="44" t="n"/>
      <c r="H494" s="45" t="n"/>
      <c r="I494" s="45" t="n"/>
      <c r="J494" s="45" t="n"/>
      <c r="K494" s="45" t="n"/>
      <c r="L494" s="45" t="n"/>
      <c r="M494" s="45" t="n"/>
      <c r="N494" s="45" t="n"/>
      <c r="O494" s="46" t="n"/>
      <c r="P494" s="45" t="n"/>
      <c r="Q494" s="45" t="n"/>
      <c r="R494" s="45" t="str">
        <f>IF(AND(A494="",B494=""),"",IF(A494="","Missing ID",IF(COUNTIF($A:$A,A494)&gt;1,"Duplicate ID",IF(B494="","Missing title",IF(C494="","Missing module",IF(J494="","Missing steps",IF(K494="","Missing expected result",IF(AND(F494=St_Failed,L494=""),"Add actual result","OK"))))))))</f>
        <v/>
      </c>
    </row>
    <row r="495" ht="32" customHeight="1">
      <c r="A495" s="44" t="n"/>
      <c r="B495" s="45" t="n"/>
      <c r="C495" s="45" t="n"/>
      <c r="D495" s="45" t="n"/>
      <c r="E495" s="44" t="n"/>
      <c r="F495" s="44" t="n"/>
      <c r="G495" s="44" t="n"/>
      <c r="H495" s="45" t="n"/>
      <c r="I495" s="45" t="n"/>
      <c r="J495" s="45" t="n"/>
      <c r="K495" s="45" t="n"/>
      <c r="L495" s="45" t="n"/>
      <c r="M495" s="45" t="n"/>
      <c r="N495" s="45" t="n"/>
      <c r="O495" s="46" t="n"/>
      <c r="P495" s="45" t="n"/>
      <c r="Q495" s="45" t="n"/>
      <c r="R495" s="45" t="str">
        <f>IF(AND(A495="",B495=""),"",IF(A495="","Missing ID",IF(COUNTIF($A:$A,A495)&gt;1,"Duplicate ID",IF(B495="","Missing title",IF(C495="","Missing module",IF(J495="","Missing steps",IF(K495="","Missing expected result",IF(AND(F495=St_Failed,L495=""),"Add actual result","OK"))))))))</f>
        <v/>
      </c>
    </row>
    <row r="496" ht="32" customHeight="1">
      <c r="A496" s="44" t="n"/>
      <c r="B496" s="45" t="n"/>
      <c r="C496" s="45" t="n"/>
      <c r="D496" s="45" t="n"/>
      <c r="E496" s="44" t="n"/>
      <c r="F496" s="44" t="n"/>
      <c r="G496" s="44" t="n"/>
      <c r="H496" s="45" t="n"/>
      <c r="I496" s="45" t="n"/>
      <c r="J496" s="45" t="n"/>
      <c r="K496" s="45" t="n"/>
      <c r="L496" s="45" t="n"/>
      <c r="M496" s="45" t="n"/>
      <c r="N496" s="45" t="n"/>
      <c r="O496" s="46" t="n"/>
      <c r="P496" s="45" t="n"/>
      <c r="Q496" s="45" t="n"/>
      <c r="R496" s="45" t="str">
        <f>IF(AND(A496="",B496=""),"",IF(A496="","Missing ID",IF(COUNTIF($A:$A,A496)&gt;1,"Duplicate ID",IF(B496="","Missing title",IF(C496="","Missing module",IF(J496="","Missing steps",IF(K496="","Missing expected result",IF(AND(F496=St_Failed,L496=""),"Add actual result","OK"))))))))</f>
        <v/>
      </c>
    </row>
    <row r="497" ht="32" customHeight="1">
      <c r="A497" s="44" t="n"/>
      <c r="B497" s="45" t="n"/>
      <c r="C497" s="45" t="n"/>
      <c r="D497" s="45" t="n"/>
      <c r="E497" s="44" t="n"/>
      <c r="F497" s="44" t="n"/>
      <c r="G497" s="44" t="n"/>
      <c r="H497" s="45" t="n"/>
      <c r="I497" s="45" t="n"/>
      <c r="J497" s="45" t="n"/>
      <c r="K497" s="45" t="n"/>
      <c r="L497" s="45" t="n"/>
      <c r="M497" s="45" t="n"/>
      <c r="N497" s="45" t="n"/>
      <c r="O497" s="46" t="n"/>
      <c r="P497" s="45" t="n"/>
      <c r="Q497" s="45" t="n"/>
      <c r="R497" s="45" t="str">
        <f>IF(AND(A497="",B497=""),"",IF(A497="","Missing ID",IF(COUNTIF($A:$A,A497)&gt;1,"Duplicate ID",IF(B497="","Missing title",IF(C497="","Missing module",IF(J497="","Missing steps",IF(K497="","Missing expected result",IF(AND(F497=St_Failed,L497=""),"Add actual result","OK"))))))))</f>
        <v/>
      </c>
    </row>
    <row r="498" ht="32" customHeight="1">
      <c r="A498" s="44" t="n"/>
      <c r="B498" s="45" t="n"/>
      <c r="C498" s="45" t="n"/>
      <c r="D498" s="45" t="n"/>
      <c r="E498" s="44" t="n"/>
      <c r="F498" s="44" t="n"/>
      <c r="G498" s="44" t="n"/>
      <c r="H498" s="45" t="n"/>
      <c r="I498" s="45" t="n"/>
      <c r="J498" s="45" t="n"/>
      <c r="K498" s="45" t="n"/>
      <c r="L498" s="45" t="n"/>
      <c r="M498" s="45" t="n"/>
      <c r="N498" s="45" t="n"/>
      <c r="O498" s="46" t="n"/>
      <c r="P498" s="45" t="n"/>
      <c r="Q498" s="45" t="n"/>
      <c r="R498" s="45" t="str">
        <f>IF(AND(A498="",B498=""),"",IF(A498="","Missing ID",IF(COUNTIF($A:$A,A498)&gt;1,"Duplicate ID",IF(B498="","Missing title",IF(C498="","Missing module",IF(J498="","Missing steps",IF(K498="","Missing expected result",IF(AND(F498=St_Failed,L498=""),"Add actual result","OK"))))))))</f>
        <v/>
      </c>
    </row>
    <row r="499" ht="32" customHeight="1">
      <c r="A499" s="44" t="n"/>
      <c r="B499" s="45" t="n"/>
      <c r="C499" s="45" t="n"/>
      <c r="D499" s="45" t="n"/>
      <c r="E499" s="44" t="n"/>
      <c r="F499" s="44" t="n"/>
      <c r="G499" s="44" t="n"/>
      <c r="H499" s="45" t="n"/>
      <c r="I499" s="45" t="n"/>
      <c r="J499" s="45" t="n"/>
      <c r="K499" s="45" t="n"/>
      <c r="L499" s="45" t="n"/>
      <c r="M499" s="45" t="n"/>
      <c r="N499" s="45" t="n"/>
      <c r="O499" s="46" t="n"/>
      <c r="P499" s="45" t="n"/>
      <c r="Q499" s="45" t="n"/>
      <c r="R499" s="45" t="str">
        <f>IF(AND(A499="",B499=""),"",IF(A499="","Missing ID",IF(COUNTIF($A:$A,A499)&gt;1,"Duplicate ID",IF(B499="","Missing title",IF(C499="","Missing module",IF(J499="","Missing steps",IF(K499="","Missing expected result",IF(AND(F499=St_Failed,L499=""),"Add actual result","OK"))))))))</f>
        <v/>
      </c>
    </row>
    <row r="500" ht="32" customHeight="1">
      <c r="A500" s="44" t="n"/>
      <c r="B500" s="45" t="n"/>
      <c r="C500" s="45" t="n"/>
      <c r="D500" s="45" t="n"/>
      <c r="E500" s="44" t="n"/>
      <c r="F500" s="44" t="n"/>
      <c r="G500" s="44" t="n"/>
      <c r="H500" s="45" t="n"/>
      <c r="I500" s="45" t="n"/>
      <c r="J500" s="45" t="n"/>
      <c r="K500" s="45" t="n"/>
      <c r="L500" s="45" t="n"/>
      <c r="M500" s="45" t="n"/>
      <c r="N500" s="45" t="n"/>
      <c r="O500" s="46" t="n"/>
      <c r="P500" s="45" t="n"/>
      <c r="Q500" s="45" t="n"/>
      <c r="R500" s="45" t="str">
        <f>IF(AND(A500="",B500=""),"",IF(A500="","Missing ID",IF(COUNTIF($A:$A,A500)&gt;1,"Duplicate ID",IF(B500="","Missing title",IF(C500="","Missing module",IF(J500="","Missing steps",IF(K500="","Missing expected result",IF(AND(F500=St_Failed,L500=""),"Add actual result","OK"))))))))</f>
        <v/>
      </c>
    </row>
    <row r="501" ht="32" customHeight="1">
      <c r="A501" s="44" t="n"/>
      <c r="B501" s="45" t="n"/>
      <c r="C501" s="45" t="n"/>
      <c r="D501" s="45" t="n"/>
      <c r="E501" s="44" t="n"/>
      <c r="F501" s="44" t="n"/>
      <c r="G501" s="44" t="n"/>
      <c r="H501" s="45" t="n"/>
      <c r="I501" s="45" t="n"/>
      <c r="J501" s="45" t="n"/>
      <c r="K501" s="45" t="n"/>
      <c r="L501" s="45" t="n"/>
      <c r="M501" s="45" t="n"/>
      <c r="N501" s="45" t="n"/>
      <c r="O501" s="46" t="n"/>
      <c r="P501" s="45" t="n"/>
      <c r="Q501" s="45" t="n"/>
      <c r="R501" s="45" t="str">
        <f>IF(AND(A501="",B501=""),"",IF(A501="","Missing ID",IF(COUNTIF($A:$A,A501)&gt;1,"Duplicate ID",IF(B501="","Missing title",IF(C501="","Missing module",IF(J501="","Missing steps",IF(K501="","Missing expected result",IF(AND(F501=St_Failed,L501=""),"Add actual result","OK"))))))))</f>
        <v/>
      </c>
    </row>
    <row r="502" ht="32" customHeight="1">
      <c r="A502" s="44" t="n"/>
      <c r="B502" s="45" t="n"/>
      <c r="C502" s="45" t="n"/>
      <c r="D502" s="45" t="n"/>
      <c r="E502" s="44" t="n"/>
      <c r="F502" s="44" t="n"/>
      <c r="G502" s="44" t="n"/>
      <c r="H502" s="45" t="n"/>
      <c r="I502" s="45" t="n"/>
      <c r="J502" s="45" t="n"/>
      <c r="K502" s="45" t="n"/>
      <c r="L502" s="45" t="n"/>
      <c r="M502" s="45" t="n"/>
      <c r="N502" s="45" t="n"/>
      <c r="O502" s="46" t="n"/>
      <c r="P502" s="45" t="n"/>
      <c r="Q502" s="45" t="n"/>
      <c r="R502" s="45" t="str">
        <f>IF(AND(A502="",B502=""),"",IF(A502="","Missing ID",IF(COUNTIF($A:$A,A502)&gt;1,"Duplicate ID",IF(B502="","Missing title",IF(C502="","Missing module",IF(J502="","Missing steps",IF(K502="","Missing expected result",IF(AND(F502=St_Failed,L502=""),"Add actual result","OK"))))))))</f>
        <v/>
      </c>
    </row>
    <row r="503" ht="32" customHeight="1">
      <c r="A503" s="44" t="n"/>
      <c r="B503" s="45" t="n"/>
      <c r="C503" s="45" t="n"/>
      <c r="D503" s="45" t="n"/>
      <c r="E503" s="44" t="n"/>
      <c r="F503" s="44" t="n"/>
      <c r="G503" s="44" t="n"/>
      <c r="H503" s="45" t="n"/>
      <c r="I503" s="45" t="n"/>
      <c r="J503" s="45" t="n"/>
      <c r="K503" s="45" t="n"/>
      <c r="L503" s="45" t="n"/>
      <c r="M503" s="45" t="n"/>
      <c r="N503" s="45" t="n"/>
      <c r="O503" s="46" t="n"/>
      <c r="P503" s="45" t="n"/>
      <c r="Q503" s="45" t="n"/>
      <c r="R503" s="45" t="str">
        <f>IF(AND(A503="",B503=""),"",IF(A503="","Missing ID",IF(COUNTIF($A:$A,A503)&gt;1,"Duplicate ID",IF(B503="","Missing title",IF(C503="","Missing module",IF(J503="","Missing steps",IF(K503="","Missing expected result",IF(AND(F503=St_Failed,L503=""),"Add actual result","OK"))))))))</f>
        <v/>
      </c>
    </row>
    <row r="504" ht="32" customHeight="1">
      <c r="A504" s="44" t="n"/>
      <c r="B504" s="45" t="n"/>
      <c r="C504" s="45" t="n"/>
      <c r="D504" s="45" t="n"/>
      <c r="E504" s="44" t="n"/>
      <c r="F504" s="44" t="n"/>
      <c r="G504" s="44" t="n"/>
      <c r="H504" s="45" t="n"/>
      <c r="I504" s="45" t="n"/>
      <c r="J504" s="45" t="n"/>
      <c r="K504" s="45" t="n"/>
      <c r="L504" s="45" t="n"/>
      <c r="M504" s="45" t="n"/>
      <c r="N504" s="45" t="n"/>
      <c r="O504" s="46" t="n"/>
      <c r="P504" s="45" t="n"/>
      <c r="Q504" s="45" t="n"/>
      <c r="R504" s="45" t="str">
        <f>IF(AND(A504="",B504=""),"",IF(A504="","Missing ID",IF(COUNTIF($A:$A,A504)&gt;1,"Duplicate ID",IF(B504="","Missing title",IF(C504="","Missing module",IF(J504="","Missing steps",IF(K504="","Missing expected result",IF(AND(F504=St_Failed,L504=""),"Add actual result","OK"))))))))</f>
        <v/>
      </c>
    </row>
  </sheetData>
  <conditionalFormatting sqref="F5:F504">
    <cfRule type="expression" priority="1" dxfId="0">
      <formula>$F5=St_Passed</formula>
    </cfRule>
    <cfRule type="expression" priority="2" dxfId="1">
      <formula>$F5=St_Failed</formula>
    </cfRule>
    <cfRule type="expression" priority="3" dxfId="2">
      <formula>$F5=St_Blocked</formula>
    </cfRule>
    <cfRule type="expression" priority="4" dxfId="3">
      <formula>$F5=St_Skipped</formula>
    </cfRule>
  </conditionalFormatting>
  <conditionalFormatting sqref="G5:G504">
    <cfRule type="expression" priority="5" dxfId="4">
      <formula>AND($G5&lt;&gt;"",$G5=Sev_1)</formula>
    </cfRule>
    <cfRule type="expression" priority="6" dxfId="5">
      <formula>AND($G5&lt;&gt;"",$G5=Sev_2)</formula>
    </cfRule>
  </conditionalFormatting>
  <conditionalFormatting sqref="R5:R504">
    <cfRule type="expression" priority="7" dxfId="6">
      <formula>AND($R5&lt;&gt;"",$R5&lt;&gt;"OK")</formula>
    </cfRule>
    <cfRule type="expression" priority="8" dxfId="7">
      <formula>$R5="OK"</formula>
    </cfRule>
  </conditionalFormatting>
  <conditionalFormatting sqref="A5:A504">
    <cfRule type="expression" priority="9" dxfId="8">
      <formula>LEFT($A5,4)="SMP-"</formula>
    </cfRule>
  </conditionalFormatting>
  <conditionalFormatting sqref="B5:E504">
    <cfRule type="expression" priority="10" dxfId="9">
      <formula>$F5=St_Failed</formula>
    </cfRule>
    <cfRule type="expression" priority="11" dxfId="10">
      <formula>$F5=St_Blocked</formula>
    </cfRule>
  </conditionalFormatting>
  <conditionalFormatting sqref="H5:Q504">
    <cfRule type="expression" priority="12" dxfId="9">
      <formula>$F5=St_Failed</formula>
    </cfRule>
    <cfRule type="expression" priority="13" dxfId="10">
      <formula>$F5=St_Blocked</formula>
    </cfRule>
  </conditionalFormatting>
  <dataValidations count="7">
    <dataValidation sqref="F5:F504" showDropDown="0" showInputMessage="0" showErrorMessage="1" allowBlank="1" errorTitle="Pick from the list" error="Please choose a value from the dropdown. You can edit the options on the Lists sheet." type="list" errorStyle="stop">
      <formula1>Lists!$A$5:$A$9</formula1>
    </dataValidation>
    <dataValidation sqref="E5:E504" showDropDown="0" showInputMessage="0" showErrorMessage="1" allowBlank="1" errorTitle="Pick from the list" error="Please choose a value from the dropdown. You can edit the options on the Lists sheet." type="list" errorStyle="stop">
      <formula1>Lists!$D$5:$D$10</formula1>
    </dataValidation>
    <dataValidation sqref="G5:G504" showDropDown="0" showInputMessage="0" showErrorMessage="1" allowBlank="1" errorTitle="Pick from the list" error="Please choose a value from the dropdown. You can edit the options on the Lists sheet." type="list" errorStyle="stop">
      <formula1>Lists!$F$5:$F$10</formula1>
    </dataValidation>
    <dataValidation sqref="D5:D504" showDropDown="0" showInputMessage="0" showErrorMessage="1" allowBlank="1" errorTitle="Pick from the list" error="Please choose a value from the dropdown. You can edit the options on the Lists sheet." type="list" errorStyle="stop">
      <formula1>Lists!$H$5:$H$18</formula1>
    </dataValidation>
    <dataValidation sqref="C5:C504" showDropDown="0" showInputMessage="0" showErrorMessage="1" allowBlank="1" errorTitle="New module?" error="This module is not on the Lists sheet. Add it there to include it in the Dashboard module table. Keep it anyway?" type="list" errorStyle="warning">
      <formula1>Lists!$L$5:$L$16</formula1>
    </dataValidation>
    <dataValidation sqref="M5:M504" showDropDown="0" showInputMessage="0" showErrorMessage="1" allowBlank="1" errorTitle="New environment?" error="This value is not on the Lists sheet. Keep it anyway?" type="list" errorStyle="warning">
      <formula1>Lists!$J$5:$J$16</formula1>
    </dataValidation>
    <dataValidation sqref="O5:O504" showDropDown="0" showInputMessage="0" showErrorMessage="1" allowBlank="1" errorTitle="Invalid date" error="Enter a valid date, e.g. 2026-10-01." type="date" operator="greaterThan">
      <formula1>36526</formula1>
    </dataValidation>
  </dataValidation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C7C7CC"/>
    <outlinePr summaryBelow="1" summaryRight="1"/>
    <pageSetUpPr fitToPage="1"/>
  </sheetPr>
  <dimension ref="A1:N18"/>
  <sheetViews>
    <sheetView showGridLines="0" workbookViewId="0">
      <pane ySplit="4" topLeftCell="A5" activePane="bottomLeft" state="frozen"/>
      <selection pane="bottomLeft" activeCell="A1" sqref="A1"/>
    </sheetView>
  </sheetViews>
  <sheetFormatPr baseColWidth="8" defaultRowHeight="15"/>
  <cols>
    <col width="16" customWidth="1" min="1" max="1"/>
    <col width="48" customWidth="1" min="2" max="2"/>
    <col width="3" customWidth="1" min="3" max="3"/>
    <col width="16" customWidth="1" min="4" max="4"/>
    <col width="3" customWidth="1" min="5" max="5"/>
    <col width="16" customWidth="1" min="6" max="6"/>
    <col width="3" customWidth="1" min="7" max="7"/>
    <col width="18" customWidth="1" min="8" max="8"/>
    <col width="3" customWidth="1" min="9" max="9"/>
    <col width="18" customWidth="1" min="10" max="10"/>
    <col width="3" customWidth="1" min="11" max="11"/>
    <col width="30" customWidth="1" min="12" max="12"/>
    <col width="3" customWidth="1" min="13" max="13"/>
    <col width="12" customWidth="1" min="14" max="14"/>
  </cols>
  <sheetData>
    <row r="1" ht="34" customHeight="1">
      <c r="A1" s="15" t="inlineStr">
        <is>
          <t>Lists</t>
        </is>
      </c>
    </row>
    <row r="2">
      <c r="A2" s="16" t="inlineStr">
        <is>
          <t>These lists feed the dropdowns on Test Cases and the labels on the Dashboard. Type a new value in an empty blue cell to add it; overwrite a value to rename it.</t>
        </is>
      </c>
    </row>
    <row r="3">
      <c r="A3" s="47" t="inlineStr">
        <is>
          <t>Keep the five Status values in order (the Dashboard counts them by position). Severity rows 1 and 2 drive the red and orange highlighting.</t>
        </is>
      </c>
    </row>
    <row r="4" ht="22" customHeight="1">
      <c r="A4" s="48" t="inlineStr">
        <is>
          <t>Status</t>
        </is>
      </c>
      <c r="B4" s="48" t="inlineStr">
        <is>
          <t>Meaning</t>
        </is>
      </c>
      <c r="D4" s="48" t="inlineStr">
        <is>
          <t>Priority</t>
        </is>
      </c>
      <c r="F4" s="48" t="inlineStr">
        <is>
          <t>Severity</t>
        </is>
      </c>
      <c r="H4" s="48" t="inlineStr">
        <is>
          <t>Test Type</t>
        </is>
      </c>
      <c r="J4" s="48" t="inlineStr">
        <is>
          <t>Environment</t>
        </is>
      </c>
      <c r="L4" s="48" t="inlineStr">
        <is>
          <t>Feature / Module</t>
        </is>
      </c>
      <c r="N4" s="48" t="inlineStr">
        <is>
          <t>ID Prefix</t>
        </is>
      </c>
    </row>
    <row r="5" ht="28" customHeight="1">
      <c r="A5" s="49" t="inlineStr">
        <is>
          <t>Not Run</t>
        </is>
      </c>
      <c r="B5" s="50" t="inlineStr">
        <is>
          <t>Not executed yet.</t>
        </is>
      </c>
      <c r="D5" s="49" t="inlineStr">
        <is>
          <t>Critical</t>
        </is>
      </c>
      <c r="F5" s="49" t="inlineStr">
        <is>
          <t>Critical</t>
        </is>
      </c>
      <c r="H5" s="49" t="inlineStr">
        <is>
          <t>Functional</t>
        </is>
      </c>
      <c r="J5" s="49" t="inlineStr">
        <is>
          <t>Local</t>
        </is>
      </c>
      <c r="L5" s="49" t="inlineStr">
        <is>
          <t>Cross-Browser Compatibility</t>
        </is>
      </c>
      <c r="N5" s="51" t="inlineStr">
        <is>
          <t>TC</t>
        </is>
      </c>
    </row>
    <row r="6" ht="28" customHeight="1">
      <c r="A6" s="49" t="inlineStr">
        <is>
          <t>Passed</t>
        </is>
      </c>
      <c r="B6" s="50" t="inlineStr">
        <is>
          <t>Actual result matched the expected result.</t>
        </is>
      </c>
      <c r="D6" s="49" t="inlineStr">
        <is>
          <t>High</t>
        </is>
      </c>
      <c r="F6" s="49" t="inlineStr">
        <is>
          <t>High</t>
        </is>
      </c>
      <c r="H6" s="49" t="inlineStr">
        <is>
          <t>Regression</t>
        </is>
      </c>
      <c r="J6" s="49" t="inlineStr">
        <is>
          <t>Dev</t>
        </is>
      </c>
      <c r="L6" s="49" t="inlineStr">
        <is>
          <t>Product Search</t>
        </is>
      </c>
      <c r="N6" s="38" t="inlineStr">
        <is>
          <t>New IDs look like TC-001</t>
        </is>
      </c>
    </row>
    <row r="7" ht="28" customHeight="1">
      <c r="A7" s="49" t="inlineStr">
        <is>
          <t>Failed</t>
        </is>
      </c>
      <c r="B7" s="50" t="inlineStr">
        <is>
          <t>Actual result differs from the expected result (a defect).</t>
        </is>
      </c>
      <c r="D7" s="49" t="inlineStr">
        <is>
          <t>Medium</t>
        </is>
      </c>
      <c r="F7" s="49" t="inlineStr">
        <is>
          <t>Medium</t>
        </is>
      </c>
      <c r="H7" s="49" t="inlineStr">
        <is>
          <t>Smoke</t>
        </is>
      </c>
      <c r="J7" s="49" t="inlineStr">
        <is>
          <t>QA</t>
        </is>
      </c>
      <c r="L7" s="49" t="inlineStr">
        <is>
          <t>Account Creation</t>
        </is>
      </c>
    </row>
    <row r="8" ht="28" customHeight="1">
      <c r="A8" s="49" t="inlineStr">
        <is>
          <t>Blocked</t>
        </is>
      </c>
      <c r="B8" s="50" t="inlineStr">
        <is>
          <t>Could not run because of an outside problem (environment down, blocking defect, missing data).</t>
        </is>
      </c>
      <c r="D8" s="49" t="inlineStr">
        <is>
          <t>Low</t>
        </is>
      </c>
      <c r="F8" s="49" t="inlineStr">
        <is>
          <t>Low</t>
        </is>
      </c>
      <c r="H8" s="49" t="inlineStr">
        <is>
          <t>Exploratory</t>
        </is>
      </c>
      <c r="J8" s="49" t="inlineStr">
        <is>
          <t>Staging</t>
        </is>
      </c>
      <c r="L8" s="49" t="inlineStr">
        <is>
          <t>Add to Cart</t>
        </is>
      </c>
    </row>
    <row r="9" ht="28" customHeight="1">
      <c r="A9" s="49" t="inlineStr">
        <is>
          <t>Skipped</t>
        </is>
      </c>
      <c r="B9" s="50" t="inlineStr">
        <is>
          <t>Intentionally not run in this cycle.</t>
        </is>
      </c>
      <c r="D9" s="49" t="n"/>
      <c r="F9" s="49" t="n"/>
      <c r="H9" s="49" t="inlineStr">
        <is>
          <t>UI</t>
        </is>
      </c>
      <c r="J9" s="49" t="inlineStr">
        <is>
          <t>UAT</t>
        </is>
      </c>
      <c r="L9" s="49" t="inlineStr">
        <is>
          <t>Ordering</t>
        </is>
      </c>
    </row>
    <row r="10">
      <c r="D10" s="49" t="n"/>
      <c r="F10" s="49" t="n"/>
      <c r="H10" s="49" t="inlineStr">
        <is>
          <t>API</t>
        </is>
      </c>
      <c r="J10" s="49" t="inlineStr">
        <is>
          <t>Production</t>
        </is>
      </c>
      <c r="L10" s="49" t="n"/>
    </row>
    <row r="11">
      <c r="H11" s="49" t="inlineStr">
        <is>
          <t>Integration</t>
        </is>
      </c>
      <c r="J11" s="49" t="inlineStr">
        <is>
          <t>Chrome</t>
        </is>
      </c>
      <c r="L11" s="49" t="n"/>
    </row>
    <row r="12">
      <c r="H12" s="49" t="inlineStr">
        <is>
          <t>Negative</t>
        </is>
      </c>
      <c r="J12" s="49" t="inlineStr">
        <is>
          <t>Firefox</t>
        </is>
      </c>
      <c r="L12" s="49" t="n"/>
    </row>
    <row r="13">
      <c r="H13" s="49" t="inlineStr">
        <is>
          <t>Boundary</t>
        </is>
      </c>
      <c r="J13" s="49" t="inlineStr">
        <is>
          <t>Safari</t>
        </is>
      </c>
      <c r="L13" s="49" t="n"/>
    </row>
    <row r="14">
      <c r="H14" s="49" t="inlineStr">
        <is>
          <t>Compatibility</t>
        </is>
      </c>
      <c r="J14" s="49" t="inlineStr">
        <is>
          <t>Edge</t>
        </is>
      </c>
      <c r="L14" s="49" t="n"/>
    </row>
    <row r="15">
      <c r="H15" s="49" t="inlineStr">
        <is>
          <t>Other</t>
        </is>
      </c>
      <c r="J15" s="49" t="n"/>
      <c r="L15" s="49" t="n"/>
    </row>
    <row r="16">
      <c r="H16" s="49" t="n"/>
      <c r="J16" s="49" t="n"/>
      <c r="L16" s="49" t="n"/>
    </row>
    <row r="17">
      <c r="H17" s="49" t="n"/>
    </row>
    <row r="18">
      <c r="H18" s="49" t="n"/>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C7C7CC"/>
    <outlinePr summaryBelow="1" summaryRight="1"/>
    <pageSetUpPr fitToPage="1"/>
  </sheetPr>
  <dimension ref="B1:C8"/>
  <sheetViews>
    <sheetView showGridLines="0" workbookViewId="0">
      <selection activeCell="A1" sqref="A1"/>
    </sheetView>
  </sheetViews>
  <sheetFormatPr baseColWidth="8" defaultRowHeight="15"/>
  <cols>
    <col width="4" customWidth="1" min="1" max="1"/>
    <col width="26" customWidth="1" min="2" max="2"/>
    <col width="92" customWidth="1" min="3" max="3"/>
  </cols>
  <sheetData>
    <row r="1" ht="34" customHeight="1">
      <c r="B1" s="15" t="inlineStr">
        <is>
          <t>Sample Project</t>
        </is>
      </c>
    </row>
    <row r="2">
      <c r="B2" s="16" t="inlineStr">
        <is>
          <t>Background for the sample test cases.</t>
        </is>
      </c>
    </row>
    <row r="4" ht="26" customHeight="1">
      <c r="B4" s="9" t="inlineStr">
        <is>
          <t>Project</t>
        </is>
      </c>
      <c r="C4" s="8" t="inlineStr">
        <is>
          <t>Private QA project on a public demo store, used to practice and showcase manual testing.</t>
        </is>
      </c>
    </row>
    <row r="5" ht="53.5" customHeight="1">
      <c r="B5" s="9" t="inlineStr">
        <is>
          <t>Scope</t>
        </is>
      </c>
      <c r="C5" s="8" t="inlineStr">
        <is>
          <t>1. Create test cases based on the requirements.
2. Deliver a test run report where passes and failures can be reviewed.
3. Find bugs on the website and report them in a bug tracking system.</t>
        </is>
      </c>
    </row>
    <row r="6" ht="26" customHeight="1">
      <c r="B6" s="9" t="inlineStr">
        <is>
          <t>Application under test</t>
        </is>
      </c>
      <c r="C6" s="52" t="inlineStr">
        <is>
          <t>https://magento.softwaretestingboard.com/</t>
        </is>
      </c>
    </row>
    <row r="7" ht="26" customHeight="1">
      <c r="B7" s="9" t="inlineStr">
        <is>
          <t>Bug tracking</t>
        </is>
      </c>
      <c r="C7" s="8" t="inlineStr">
        <is>
          <t>A Trello board with a bug tracking system and bug reports for defects found on the website.</t>
        </is>
      </c>
    </row>
    <row r="8" ht="26" customHeight="1">
      <c r="B8" s="9" t="inlineStr">
        <is>
          <t>Bug board link</t>
        </is>
      </c>
      <c r="C8" s="52" t="inlineStr">
        <is>
          <t>Bug tracking board and bug reports (Trello)</t>
        </is>
      </c>
    </row>
  </sheetData>
  <hyperlinks>
    <hyperlink xmlns:r="http://schemas.openxmlformats.org/officeDocument/2006/relationships" ref="C6" r:id="rId1"/>
    <hyperlink xmlns:r="http://schemas.openxmlformats.org/officeDocument/2006/relationships" ref="C8" r:id="rId2"/>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2026-10-04T19:29:33Z</dcterms:created>
  <dcterms:modified xmlns:dcterms="http://purl.org/dc/terms/" xmlns:xsi="http://www.w3.org/2001/XMLSchema-instance" xsi:type="dcterms:W3CDTF">2026-10-04T19:29:34Z</dcterms:modified>
</cp:coreProperties>
</file>